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'Tracker'!$A$4:$I$99</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1">
    <numFmt numFmtId="164" formatCode="dd\-mmm\-yyyy"/>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99"/>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In progress</t>
        </is>
      </c>
      <c r="H7" s="6" t="n">
        <v>0.5</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 21 Sep 2026: BSA and BSAIS self-evaluations (Official and generated copies) now use the "First Year - Trimester 1" naming convention; the builder was updated to write it. 13 Oct 2026: BSA and BSAIS drafts regenerated as v1.1 (curricular finding complete; 40 programme-outcome mappings and the Year 1 teaching-load rows filled). 11 of 17 institutional requirements per programme still outstanding: faculty roster, library, facilities, internship, admission and retention, and the Sec. 20, 22 and 23 systems. 26 Oct 2026: the BSA and BSAIS Year 1 course syllabi that the self-evaluation cites are now drafted (see item 20 and 26).  29 Oct 2026: CHED RO III letter of 7 Oct 2026 requires 17–18 contact hours per lecture unit; retest against it. The Official-folder copies still carry the superseded 54-hour, 14-to-15-week wording.</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In progress</t>
        </is>
      </c>
      <c r="H9" s="6" t="n">
        <v>0.5</v>
      </c>
      <c r="I9" s="7" t="inlineStr">
        <is>
          <t>23 Sep 2026: the description and goals of each programme are drafted in Section I of the BSA and BSAIS feasibility studies (BSA &amp; BSAIS Outputs/Feasibility Study). The remaining six programmes still need theirs. 26 Oct 2026: v2 drafts of the BSA and BSAIS feasibility studies now replace the earlier versions (acceptability survey results added; Table 9 mean to be corrected at source).</t>
        </is>
      </c>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 23 Sep 2026: Section III of the BSA and BSAIS feasibility studies carries the College's rationale on demand, flagged in the document itself as rationale and not survey findings. The market demand study supersedes it when available. Evidence now in Section III of both studies: 95% of BSA and BSAIS graduates are gainfully employed in work related to their field, on the College's own graduate survey; the first batch of CPALE examinees returned 4 passers out of 6. The survey instrument, period, population and respondents, and the PRC report of rating, must be attached as annexes. 23 Sep 2026: an acceptability survey on the proposed change is ready to run — questionnaire (form ref. HCC-VD-TRI-ACC-01, 23 Likert items in four parts plus preference and open questions) and a tabulation workbook that computes weighted means, verbal interpretations and an acceptability index as responses are encoded. In BSA &amp; BSAIS Outputs/Acceptability Survey. Still to decide: who is asked and how they are chosen — CHED will ask. 23 Sep 2026: house standard set for this application — every document is built on the College's official letterhead template (HEADER-PORTRAIT-SHORT-LONG.docx) on short bond, 8.5 x 11. The feasibility studies and the acceptability survey are already on it. The sampling plan for the survey is in the tabulation workbook: whole-population for the small groups, Slovin at a 5% margin for the large ones. 26 Oct 2026: the Graduate Tracer Study for the Batch of May 2025 is in and replaces the earlier 95% figure. Thirty graduates, twenty-eight employed in work related to their field — 93% overall, BSA 19 of 20 (95%), BSAIS 9 of 10 (90%). Ten were hired within a month of graduating and fifteen within three months; all within eight. One entry marked not employed was confirmed employed by the Vice Dean. Both feasibility studies now carry these figures and the workbook is filed with them.</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inlineStr">
        <is>
          <t>23 Sep 2026: the feasibility studies project first-year intake at 30 (BSA) and 25 (BSAIS) growing ten per cent a year, and ask the Registrar for six years of historical freshmen enrolment to confirm or revise it. The 93% employment result from the May 2025 tracer study (BSA 95%) strengthens the prospective-student case and is cited in Section III of both studies. 23 Sep 2026: an acceptability survey on the proposed change is ready to run — questionnaire (form ref. HCC-VD-TRI-ACC-01, 23 Likert items in four parts plus preference and open questions) and a tabulation workbook that computes weighted means, verbal interpretations and an acceptability index as responses are encoded. In BSA &amp; BSAIS Outputs/Acceptability Survey. Still to decide: who is asked and how they are chosen — CHED will ask.</t>
        </is>
      </c>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inlineStr">
        <is>
          <t>23 Sep 2026: the feasibility studies state that no other institution in the immediate area offers these programmes on a trimester calendar. This needs the competing-schools study behind it.</t>
        </is>
      </c>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 23 Sep 2026: the location narrative (Central Luzon, Maharlika Highway, Clark Economic Zone, the Bulacan airport terminal) is drafted in Section III of both feasibility studies.</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 23 Sep 2026: a computation workbook is ready for the Finance Office — “BSA/BSAIS 3-Year Trimester — Tuition Computation.xlsx”. Enter the rate per unit, the miscellaneous fee per term, the expense ratios and the tax rate, and tuition, collections, expenses and net income compute for five years. Two decisions are still Finance's: the rates themselves, and whether miscellaneous fees are charged at the same amount per term under a three-term year or annualised across three terms.  29 Oct 2026: overdue. The CHED RO III letter makes the fee decision the trigger for stakeholder-consultation proof (item 88).</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 21 Sep 2026: BSA and BSAIS course assignments for First Year - Trimester 1 to 3 are available from the Proposed Faculty Loading (BSA &amp; BSAIS Outputs/Faculty Matrix &amp; Loading).</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For review</t>
        </is>
      </c>
      <c r="H26" s="6" t="n">
        <v>1</v>
      </c>
      <c r="I26"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28" s="4" t="n">
        <v>46311</v>
      </c>
      <c r="G28" s="5" t="inlineStr">
        <is>
          <t>For review</t>
        </is>
      </c>
      <c r="H28" s="6" t="n">
        <v>1</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 26 Oct 2026: all BSA course syllabi drafted on the OBE template (14-week / 56-hour basis, midterm Week 7, final Week 14) in BSA &amp; BSAIS Outputs/Sample Syllabus/Drafts for Review; references left blank; subject-expert review pending. AE7-INT 400-hour deployment still to be confirmed. 26 Oct 2026: the syllabus drafts now carry the course teacher. Prepared by / Subject Instructor on each of the 24 First Year courses is the faculty member the Proposed Faculty Loading assigns to it — 20 changed from the Vice Dean, 4 were already right. Reviewed by (Chair), Recommended by (Vice Dean) and Approved by (Dean) are unchanged. The 51 Second and Third Year syllabi still read Vice Dean as instructor, because no loading has been drawn for those years yet.  29 Oct 2026: 64 drafts still have no references; none shows the monthly assessment; instructor sign-off to follow.  Update 29 Oct 2026: monthly assessment (Weeks 4 and 11) added to all 74 syllabi. References still outstanding on 64 drafts.</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For review</t>
        </is>
      </c>
      <c r="H32" s="6" t="n">
        <v>1</v>
      </c>
      <c r="I32"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34" s="4" t="n">
        <v>46311</v>
      </c>
      <c r="G34" s="5" t="inlineStr">
        <is>
          <t>For review</t>
        </is>
      </c>
      <c r="H34" s="6" t="n">
        <v>1</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 26 Oct 2026: all BSAIS course syllabi drafted on the OBE template (14-week / 56-hour basis, midterm Week 7, final Week 14) in BSA &amp; BSAIS Outputs/Sample Syllabus/Drafts for Review; references left blank; subject-expert review pending. AE7-INT 400-hour deployment still to be confirmed. 26 Oct 2026: the syllabus drafts now carry the course teacher. Prepared by / Subject Instructor on each of the 24 First Year courses is the faculty member the Proposed Faculty Loading assigns to it — 20 changed from the Vice Dean, 4 were already right. Reviewed by (Chair), Recommended by (Vice Dean) and Approved by (Dean) are unchanged. The 51 Second and Third Year syllabi still read Vice Dean as instructor, because no loading has been drawn for those years yet.  29 Oct 2026: 64 drafts still have no references; none shows the monthly assessment; instructor sign-off to follow.  Update 29 Oct 2026: monthly assessment (Weeks 4 and 11) added to all 74 syllabi. References still outstanding on 64 drafts.</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56-hour standard is 466.7 hours, or 8.33 teaching hours a day over four days.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FILING &amp; INTERNAL COORDINATION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  29 Oct 2026: the CHED RO III letter (7 Oct) answers question 2 (governing issuances) and partly Open Item 4 (soft copy by email). Send one message to Dr. Maria Teresa S. Salta on the remaining questions; see the audit in BSA &amp; BSAIS Outputs/CHED Letter Audit.</t>
        </is>
      </c>
    </row>
    <row r="84">
      <c r="A84" s="2" t="n">
        <v>74</v>
      </c>
      <c r="B84" s="3" t="inlineStr">
        <is>
          <t>General Education Syllabi Pool — publish the writer allocation, the common syllabus template and the internal hand-in dates</t>
        </is>
      </c>
      <c r="C84" s="3" t="inlineStr">
        <is>
          <t>Internal — raised by the Vice Dean, 9 Sep 2026</t>
        </is>
      </c>
      <c r="D84" s="3" t="inlineStr">
        <is>
          <t>Program Chair Kent E. Garcia</t>
        </is>
      </c>
      <c r="E84" s="3" t="inlineStr">
        <is>
          <t>General Education Syllabi Pool — 7 writers (Ilag, Germino, Calma, Mequiabas, Manuel, Tolosa, Jamlang); Vice Dean Ken Gie Anthony G. Cruel (GE code harmonisation); all 8 Program Chairs (recipients)</t>
        </is>
      </c>
      <c r="F84" s="4" t="n">
        <v>46290</v>
      </c>
      <c r="G84" s="5" t="inlineStr">
        <is>
          <t>Not started</t>
        </is>
      </c>
      <c r="H84" s="6" t="n">
        <v>0</v>
      </c>
      <c r="I84" s="7" t="inlineStr">
        <is>
          <t>POOL LEAD: Chair Kent E. Garcia (named 9 Sep 2026). ALLOCATION REVISED 13 Sep 2026 by direction of the Vice Dean — all 20 courses are assigned by name across SEVEN writers (Aquino, Agnes M. was moved out of the pool on the same date to write BEED/BSED major courses under item 79 instead). Ilag: REL-GEC, CLE 1, CLE 2, STS-GEC. Germino: HIS-GEC. Calma: PATH-FIT 1, PATH-FIT 2, NSTP 1. Mequiabas: PATH-FIT 3, PATH-FIT 4, NSTP 2. Manuel: ETH-GEC, MAT-GEC, BL-GEC. Tolosa: ART-GEC, COM-GEC, US-GEC. Jamlang: CON-GEC, ITE-GEC, RIZ-GEC — two only, on the heaviest teaching load in the pool at 27 units over 5 preps. Each writer produces the description AND the syllabus per course. THE LEAD'S TASKS: issue one common syllabus template carrying the assessment scheme and the 14-week / 56-hour basis; set internal hand-in dates ahead of 9 Oct and 16 Oct; hand one finished set to all 8 Chairs; report slippage weekly to the Vice Dean. WATCH: NSTP 1 is the prerequisite of NSTP 2 and they now sit with different writers — Calma and Mequiabas must agree the two syllabi between them. STILL BLOCKED BY OPEN ITEM 7 — the GE course codes do not match across programmes, so the allocation is not final until they are harmonised. He convenes and reports; each Programme Chair still answers for their own 7.3 and 7.4 rows. 26 Oct 2026: the Vice Dean has drafted syllabi for all 20 GE, PATH-FIT, NSTP and CLE courses (Drafts for Review) for the writers to adopt, check and finalise. Open Item 7 (code mismatch) still applies. REALLOCATED 26 Oct 2026 — D. Maglalang resigned. Her three courses went to the faculty who teach them in the Proposed Faculty Loading: CLE 2 to Ilag (who already has CLE 1), HIS-GEC to Germino (who teaches it in First Year - Trimester 1, and joins the pool for it), RIZ-GEC to Jamlang (who teaches it in First Year - Trimester 3). Still seven writers.</t>
        </is>
      </c>
    </row>
    <row r="85" s="31">
      <c r="A85" s="2" t="n">
        <v>75</v>
      </c>
      <c r="B85" s="3" t="inlineStr">
        <is>
          <t>Business Cluster Pool — fix the definitive shared-course list and publish the writer allocation and internal hand-in dates</t>
        </is>
      </c>
      <c r="C85" s="3" t="inlineStr">
        <is>
          <t>Internal — raised by the Vice Dean, 9 Sep 2026</t>
        </is>
      </c>
      <c r="D85" s="3" t="inlineStr">
        <is>
          <t>Program Chair Ranilo S. Castillo II</t>
        </is>
      </c>
      <c r="E85" s="3" t="inlineStr">
        <is>
          <t>Business Cluster Pool (Aquino (Ann Jellie), Bauat, Dela Cruz (Jacqueline), Salas); Vice Dean Ken Gie Anthony G. Cruel; Program Chairs of BSA, BSAIS and BSHM (recipients)</t>
        </is>
      </c>
      <c r="F85" s="4" t="n">
        <v>46290</v>
      </c>
      <c r="G85" s="5" t="inlineStr">
        <is>
          <t>Not started</t>
        </is>
      </c>
      <c r="H85" s="6" t="n">
        <v>0</v>
      </c>
      <c r="I85" s="7" t="inlineStr">
        <is>
          <t>POOL LEAD NAMED 9 Sep 2026: Chair Ranilo S. Castillo II convenes the Business Cluster Pool. The pool writes the shared business, economics and law courses ONCE for BSA, BSAIS, BSBA and BSHM, so its output feeds items 19-20, 25-26, 31-32 and 43-44. THE LEAD'S SPECIFIC TASKS: (1) FIX THE DEFINITIVE COURSE LIST — it is still recorded only as 'about 12 to 13 courses' and no exact list exists, so this comes first; (2) publish the allocation across the 4 writers; (3) use the same common syllabus template as the GE pool; (4) set internal hand-in dates ahead of 9 Oct and 16 Oct; (5) hand ONE copy to the Chairs of BSA, BSAIS, BSBA and BSHM; (6) report slippage to the Vice Dean. BSA and BSAIS have no full-time faculty of their own, so this pool is the only source of these courses for two of the four programmes. The Chair convenes and reports; each Programme Chair still answers for their own 7.3 and 7.4 rows. 26 Oct 2026: the Vice Dean has drafted syllabi for the business, economics and law courses (Drafts for Review) for the writers to adopt, check and finalise.</t>
        </is>
      </c>
    </row>
    <row r="86" s="31">
      <c r="A86" s="2" t="n">
        <v>76</v>
      </c>
      <c r="B86" s="3" t="inlineStr">
        <is>
          <t>Programme-specialised writer allocation, BSCRIM — publish which full-time faculty writes which BSCRIM major course, with the internal hand-in dates</t>
        </is>
      </c>
      <c r="C86" s="3" t="inlineStr">
        <is>
          <t>Internal — raised by the Vice Dean, 13 Sep 2026</t>
        </is>
      </c>
      <c r="D86" s="3" t="inlineStr">
        <is>
          <t>Program Chair Samantha Rose C. Pisto</t>
        </is>
      </c>
      <c r="E86" s="3" t="inlineStr">
        <is>
          <t>BSCRIM full-time faculty (Arimbuyutan, Dela Cruz (Jhon Allen), Diaz, Pamiloza, Ramos); Vice Dean Ken Gie Anthony G. Cruel</t>
        </is>
      </c>
      <c r="F86" s="4" t="n">
        <v>46290</v>
      </c>
      <c r="G86" s="5" t="inlineStr">
        <is>
          <t>Not started</t>
        </is>
      </c>
      <c r="H86" s="6" t="n">
        <v>0</v>
      </c>
      <c r="I86" s="7" t="inlineStr">
        <is>
          <t>Five full-time writers — the best-staffed department in the college after Teacher Education. Until this allocation names their courses, each of the five carries a counted task on the Faculty sheet rather than a named one. Use the common template (14 weeks / 56 hours; two exams plus a monthly assessment). Internal hand-in: descriptions 9 Oct 2026, syllabi 16 Oct 2026. Feeds items 49 and 50. NOTE against item 45: the two 25-unit BSCRIM trimesters put students at 8.33 contact hours a day and are still to be fixed.</t>
        </is>
      </c>
    </row>
    <row r="87" s="31">
      <c r="A87" s="2" t="n">
        <v>77</v>
      </c>
      <c r="B87" s="3" t="inlineStr">
        <is>
          <t>Programme-specialised writer allocation, BSHM — publish which full-time faculty writes which BSHM major course, with the internal hand-in dates</t>
        </is>
      </c>
      <c r="C87" s="3" t="inlineStr">
        <is>
          <t>Internal — raised by the Vice Dean, 13 Sep 2026</t>
        </is>
      </c>
      <c r="D87" s="3" t="inlineStr">
        <is>
          <t>Program Chair Stephanie S. Ciasico</t>
        </is>
      </c>
      <c r="E87" s="3" t="inlineStr">
        <is>
          <t>BSHM full-time faculty (Bernardo, Dela Cruz (Jonathan), Geronimo); Vice Dean Ken Gie Anthony G. Cruel</t>
        </is>
      </c>
      <c r="F87" s="4" t="n">
        <v>46290</v>
      </c>
      <c r="G87" s="5" t="inlineStr">
        <is>
          <t>Not started</t>
        </is>
      </c>
      <c r="H87" s="6" t="n">
        <v>0</v>
      </c>
      <c r="I87" s="7" t="inlineStr">
        <is>
          <t>Three full-time writers, and the shared business courses are already covered by the Business Cluster Pool under item 75, so this allocation covers hospitality-specialised courses only. Bernardo also carries library items 66 to 69 on top of a 21-unit load — weight his share accordingly. Internal hand-in: descriptions 9 Oct 2026, syllabi 16 Oct 2026. Feeds items 43 and 44.</t>
        </is>
      </c>
    </row>
    <row r="88" s="31">
      <c r="A88" s="2" t="n">
        <v>78</v>
      </c>
      <c r="B88" s="3" t="inlineStr">
        <is>
          <t>Programme-specialised writer allocation, BSCS — publish which full-time faculty writes which BSCS major course, with the internal hand-in dates</t>
        </is>
      </c>
      <c r="C88" s="3" t="inlineStr">
        <is>
          <t>Internal — raised by the Vice Dean, 13 Sep 2026</t>
        </is>
      </c>
      <c r="D88" s="3" t="inlineStr">
        <is>
          <t>Program Chair John Philip N. Diamat</t>
        </is>
      </c>
      <c r="E88" s="3" t="inlineStr">
        <is>
          <t>Cristobal, Teofilo G. (the department's only other full-time faculty); Vice Dean Ken Gie Anthony G. Cruel</t>
        </is>
      </c>
      <c r="F88" s="4" t="n">
        <v>46290</v>
      </c>
      <c r="G88" s="5" t="inlineStr">
        <is>
          <t>Not started</t>
        </is>
      </c>
      <c r="H88" s="6" t="n">
        <v>0</v>
      </c>
      <c r="I88" s="7" t="inlineStr">
        <is>
          <t>CAPACITY WARNING — this department has exactly one full-time writer besides the Chair. Cristobal, Teofilo G. cannot absorb the BSCS major courses alone, so this allocation must state plainly which courses fall to the Chair himself and which, if any, need help from outside the department. The same shape of problem as Open Item 9. Correct Cristobal's department on the roster main sheet (he is BSCS, not Teacher Education) before the dossier is filed. Internal hand-in: descriptions 9 Oct 2026, syllabi 16 Oct 2026. Feeds items 37 and 38.</t>
        </is>
      </c>
    </row>
    <row r="89" s="31">
      <c r="A89" s="2" t="n">
        <v>79</v>
      </c>
      <c r="B89" s="3" t="inlineStr">
        <is>
          <t>Programme-specialised writer allocation, BEED and BSED — publish which full-time faculty writes which education major course, with the internal hand-in dates</t>
        </is>
      </c>
      <c r="C89" s="3" t="inlineStr">
        <is>
          <t>Internal — raised by the Vice Dean, 13 Sep 2026</t>
        </is>
      </c>
      <c r="D89" s="3" t="inlineStr">
        <is>
          <t>Program Chair Kent E. Garcia</t>
        </is>
      </c>
      <c r="E89" s="3" t="inlineStr">
        <is>
          <t>The seven Teacher Education full-time faculty not in the GE pool (Ablaya, Aquino (Agnes), Cajucom, Delos Reyes, Germino, Sta. Cruz, Villamayor); Vice Dean Ken Gie Anthony G. Cruel</t>
        </is>
      </c>
      <c r="F89" s="4" t="n">
        <v>46290</v>
      </c>
      <c r="G89" s="5" t="inlineStr">
        <is>
          <t>Not started</t>
        </is>
      </c>
      <c r="H89" s="6" t="n">
        <v>0</v>
      </c>
      <c r="I89" s="7" t="inlineStr">
        <is>
          <t>The seven Teacher Education faculty in the General Education Syllabi Pool are writing 20 courses for the whole college under item 74 and are deliberately EXCLUDED from this allocation. SEVEN writers remain for the BEED and BSED major courses — Aquino, Agnes M. was moved out of the GE pool on 13 Sep 2026 by direction of the Vice Dean and joins this group, on the heaviest prep count in the department at 7. Sta. Cruz also carries library items 66 to 69 on top of a 27-unit load — weight her share accordingly. Internal hand-in: descriptions 9 Oct 2026, syllabi 16 Oct 2026. Feeds items 55 and 56 (BEED) and 61 and 62 (BSED).</t>
        </is>
      </c>
    </row>
    <row r="90" s="31">
      <c r="A90" s="2" t="n">
        <v>80</v>
      </c>
      <c r="B90" s="3" t="inlineStr">
        <is>
          <t>Programme-specialised writer allocation, BSBA — publish which full-time faculty writes which BSBA major course, over and above the shared cluster courses in item 75</t>
        </is>
      </c>
      <c r="C90" s="3" t="inlineStr">
        <is>
          <t>Internal — raised by the Vice Dean, 13 Sep 2026</t>
        </is>
      </c>
      <c r="D90" s="3" t="inlineStr">
        <is>
          <t>Program Chair Ranilo S. Castillo II</t>
        </is>
      </c>
      <c r="E90" s="3" t="inlineStr">
        <is>
          <t>BSBA full-time faculty (Aquino (Ann Jellie), Bauat, Dela Cruz (Jacqueline), Salas); Vice Dean Ken Gie Anthony G. Cruel</t>
        </is>
      </c>
      <c r="F90" s="4" t="n">
        <v>46290</v>
      </c>
      <c r="G90" s="5" t="inlineStr">
        <is>
          <t>Not started</t>
        </is>
      </c>
      <c r="H90" s="6" t="n">
        <v>0</v>
      </c>
      <c r="I90" s="7" t="inlineStr">
        <is>
          <t>DOUBLE LOAD — the same four faculty write the 13 shared business courses under item 75 AND the BSBA major courses here. After the Vice Dean, this is the heaviest concentration of writing on any group in the college, and all four already carry 24 units. Publish both allocations together so the total per writer is visible, and say which courses the Chair takes himself. Internal hand-in: descriptions 9 Oct 2026, syllabi 16 Oct 2026. Feeds items 31 and 32.</t>
        </is>
      </c>
    </row>
    <row r="91" ht="15" customHeight="1" s="31">
      <c r="A91" s="27" t="inlineStr">
        <is>
          <t>AREA G — CHED REGION III LETTER OF 7 OCTOBER 2026 (BSA &amp; BSAIS FIRST; other programmes follow once the pattern is approved)</t>
        </is>
      </c>
      <c r="B91" s="28" t="n"/>
      <c r="C91" s="28" t="n"/>
      <c r="D91" s="28" t="n"/>
      <c r="E91" s="28" t="n"/>
      <c r="F91" s="28" t="n"/>
      <c r="G91" s="28" t="n"/>
      <c r="H91" s="28" t="n"/>
      <c r="I91" s="29" t="n"/>
    </row>
    <row r="92">
      <c r="A92" s="2" t="n">
        <v>81</v>
      </c>
      <c r="B92" s="3" t="inlineStr">
        <is>
          <t>Board Resolution approving the institutional shift to a trimester calendar system starting AY 2027–2028</t>
        </is>
      </c>
      <c r="C92" s="3" t="inlineStr">
        <is>
          <t>CHED RO III letter, 7 Oct 2026, item 1</t>
        </is>
      </c>
      <c r="D92" s="3" t="inlineStr">
        <is>
          <t>VPAA / VP Admin &amp; Finance Dr. Raquel T. Sta. Ines</t>
        </is>
      </c>
      <c r="E92" s="3" t="inlineStr">
        <is>
          <t>Dean Dr. Almario B. Garcia; Vice Dean Ken Gie Anthony G. Cruel (drafts)</t>
        </is>
      </c>
      <c r="F92" s="4" t="n">
        <v>46330</v>
      </c>
      <c r="G92" s="5" t="inlineStr">
        <is>
          <t>Not started</t>
        </is>
      </c>
      <c r="H92" s="6" t="n">
        <v>0</v>
      </c>
      <c r="I92" s="7" t="inlineStr">
        <is>
          <t>The letter asks for a Board Resolution. The Council of Program Chairs Resolutions 2026-08-01 to 08-03 are not a Board resolution. Confirm the Letter of Intent dated 25 Aug 2026 is the same document as the item 1 transmittal letter. Council meeting date and resolution number for the 14-week decision still unrecorded.</t>
        </is>
      </c>
    </row>
    <row r="93">
      <c r="A93" s="2" t="n">
        <v>82</v>
      </c>
      <c r="B93" s="3" t="inlineStr">
        <is>
          <t>Comparative curriculum matrix, existing 4-year semestral to proposed 3-year trimestral, BSA</t>
        </is>
      </c>
      <c r="C93" s="3" t="inlineStr">
        <is>
          <t>CHED RO III letter, 7 Oct 2026, item 2</t>
        </is>
      </c>
      <c r="D93" s="3" t="inlineStr">
        <is>
          <t>Vice Dean Ken Gie Anthony G. Cruel</t>
        </is>
      </c>
      <c r="E93" s="3" t="inlineStr">
        <is>
          <t>Registrar Laila D. Sarmiento (current semestral prospectus by 30 Oct 2026)</t>
        </is>
      </c>
      <c r="F93" s="4" t="n">
        <v>46329</v>
      </c>
      <c r="G93" s="5" t="inlineStr">
        <is>
          <t>Not started</t>
        </is>
      </c>
      <c r="H93" s="6" t="n">
        <v>0</v>
      </c>
      <c r="I93" s="7" t="inlineStr">
        <is>
          <t>Must show: required minimum units per PSG preserved; at least 17–18 contact hours per lecture unit over the 14-week term; prerequisite order with no enrolment bottleneck. New curriculum 191 units against the PSG minimum of 173. Blocked until the Registrar supplies the current prospectus.</t>
        </is>
      </c>
    </row>
    <row r="94">
      <c r="A94" s="2" t="n">
        <v>83</v>
      </c>
      <c r="B94" s="3" t="inlineStr">
        <is>
          <t>Comparative curriculum matrix, existing 4-year semestral to proposed 3-year trimestral, BSAIS</t>
        </is>
      </c>
      <c r="C94" s="3" t="inlineStr">
        <is>
          <t>CHED RO III letter, 7 Oct 2026, item 2</t>
        </is>
      </c>
      <c r="D94" s="3" t="inlineStr">
        <is>
          <t>Vice Dean Ken Gie Anthony G. Cruel</t>
        </is>
      </c>
      <c r="E94" s="3" t="inlineStr">
        <is>
          <t>Registrar Laila D. Sarmiento (current semestral prospectus by 30 Oct 2026)</t>
        </is>
      </c>
      <c r="F94" s="4" t="n">
        <v>46329</v>
      </c>
      <c r="G94" s="5" t="inlineStr">
        <is>
          <t>Not started</t>
        </is>
      </c>
      <c r="H94" s="6" t="n">
        <v>0</v>
      </c>
      <c r="I94" s="7" t="inlineStr">
        <is>
          <t>Same test as item 82. New curriculum 185 units against the PSG minimum of 167. Blocked until the Registrar supplies the current prospectus.</t>
        </is>
      </c>
    </row>
    <row r="95">
      <c r="A95" s="2" t="n">
        <v>84</v>
      </c>
      <c r="B95" s="3" t="inlineStr">
        <is>
          <t>Academic Calendar AY 2027–2028 with class-day count, midterm and final weeks, inter-trimester breaks and a statement of compliance with annual active instructional days</t>
        </is>
      </c>
      <c r="C95" s="3" t="inlineStr">
        <is>
          <t>CHED RO III letter, 7 Oct 2026, item 4</t>
        </is>
      </c>
      <c r="D95" s="3" t="inlineStr">
        <is>
          <t>Vice Dean Ken Gie Anthony G. Cruel</t>
        </is>
      </c>
      <c r="E95" s="3" t="inlineStr">
        <is>
          <t>Registrar Laila D. Sarmiento; MIS Head Jayson R. Francisco</t>
        </is>
      </c>
      <c r="F95" s="4" t="n">
        <v>46328</v>
      </c>
      <c r="G95" s="5" t="inlineStr">
        <is>
          <t>For review</t>
        </is>
      </c>
      <c r="H95" s="6" t="n">
        <v>1</v>
      </c>
      <c r="I95" s="7" t="inlineStr">
        <is>
          <t>The calendar counts 70 days a trimester on a Monday–Friday basis; the adopted pattern is Monday–Thursday (48 regular + 10 exam days = 58). State which days count. The annual minimum is in CMO 1 s.2011 / CMO 40 s.2008, not yet read. Also show the monthly assessment; fix the Term 3 enrolment dates.  29 Oct 2026: calendar revised and re-issued (HTML and PDF): Monday–Thursday count of 48 class + 10 exam = 58 days a trimester (174 a year); monthly assessment in Weeks 4 and 11; Term 3 enrolment moved to 14–16 Feb 2028. Still open: statement of compliance with the annual minimum (CMO 1 s.2011 / CMO 40 s.2008 not yet read); workbook sheet School Calendar is stale.</t>
        </is>
      </c>
    </row>
    <row r="96">
      <c r="A96" s="2" t="n">
        <v>85</v>
      </c>
      <c r="B96" s="3" t="inlineStr">
        <is>
          <t>Faculty roster and load distribution across all three trimesters with full-time adequacy statement, BSA</t>
        </is>
      </c>
      <c r="C96" s="3" t="inlineStr">
        <is>
          <t>CHED RO III letter, 7 Oct 2026, item 5 (first part)</t>
        </is>
      </c>
      <c r="D96" s="3" t="inlineStr">
        <is>
          <t>Vice Dean Ken Gie Anthony G. Cruel</t>
        </is>
      </c>
      <c r="E96" s="3" t="inlineStr">
        <is>
          <t>HR Officer Ellarein Richelle Dela Cruz</t>
        </is>
      </c>
      <c r="F96" s="4" t="n">
        <v>46329</v>
      </c>
      <c r="G96" s="5" t="inlineStr">
        <is>
          <t>Not started</t>
        </is>
      </c>
      <c r="H96" s="6" t="n">
        <v>0</v>
      </c>
      <c r="I96" s="7" t="inlineStr">
        <is>
          <t>Current loading covers First Year only: 1 full-time and 12 part-time instructors. CMO 27 Sec 15.5 needs at least 30% full-time and three full-time CPAs. Ask CHED whether the semestral cohorts being taught out must be included.</t>
        </is>
      </c>
    </row>
    <row r="97">
      <c r="A97" s="2" t="n">
        <v>86</v>
      </c>
      <c r="B97" s="3" t="inlineStr">
        <is>
          <t>Faculty roster and load distribution across all three trimesters with full-time adequacy statement, BSAIS</t>
        </is>
      </c>
      <c r="C97" s="3" t="inlineStr">
        <is>
          <t>CHED RO III letter, 7 Oct 2026, item 5 (first part)</t>
        </is>
      </c>
      <c r="D97" s="3" t="inlineStr">
        <is>
          <t>Vice Dean Ken Gie Anthony G. Cruel</t>
        </is>
      </c>
      <c r="E97" s="3" t="inlineStr">
        <is>
          <t>HR Officer Ellarein Richelle Dela Cruz</t>
        </is>
      </c>
      <c r="F97" s="4" t="n">
        <v>46329</v>
      </c>
      <c r="G97" s="5" t="inlineStr">
        <is>
          <t>Not started</t>
        </is>
      </c>
      <c r="H97" s="6" t="n">
        <v>0</v>
      </c>
      <c r="I97" s="7" t="inlineStr">
        <is>
          <t>Same as item 85. CMO 30 Sec 15.4 applies.</t>
        </is>
      </c>
    </row>
    <row r="98">
      <c r="A98" s="2" t="n">
        <v>87</v>
      </c>
      <c r="B98" s="3" t="inlineStr">
        <is>
          <t>Room and laboratory utilisation schedule, all programmes, continuous use without conflicts</t>
        </is>
      </c>
      <c r="C98" s="3" t="inlineStr">
        <is>
          <t>CHED RO III letter, 7 Oct 2026, item 5 (second part)</t>
        </is>
      </c>
      <c r="D98" s="3" t="inlineStr">
        <is>
          <t>MIS Head Jayson R. Francisco</t>
        </is>
      </c>
      <c r="E98" s="3" t="inlineStr">
        <is>
          <t>All Program Chairs (their class schedules); VPAA / VP Admin &amp; Finance Dr. Raquel T. Sta. Ines (facilities list)</t>
        </is>
      </c>
      <c r="F98" s="4" t="n">
        <v>46331</v>
      </c>
      <c r="G98" s="5" t="inlineStr">
        <is>
          <t>Not started</t>
        </is>
      </c>
      <c r="H98" s="6" t="n">
        <v>0</v>
      </c>
      <c r="I98" s="7" t="inlineStr">
        <is>
          <t>Only First Year BSA/BSAIS classroom assignments exist (ML 401, ML 211). No college-wide room schedule, no laboratory schedule, no facilities inventory against the programme standards.</t>
        </is>
      </c>
    </row>
    <row r="99">
      <c r="A99" s="2" t="n">
        <v>88</v>
      </c>
      <c r="B99" s="3" t="inlineStr">
        <is>
          <t>Fee determination and, if fees change, proof of consultation with students, faculty and alumni</t>
        </is>
      </c>
      <c r="C99" s="3" t="inlineStr">
        <is>
          <t>CHED RO III letter, 7 Oct 2026, item 6 (CMO 3 s.2012)</t>
        </is>
      </c>
      <c r="D99" s="3" t="inlineStr">
        <is>
          <t>VPAA / VP Admin &amp; Finance Dr. Raquel T. Sta. Ines</t>
        </is>
      </c>
      <c r="E99" s="3" t="inlineStr">
        <is>
          <t>Finance Officer Dana Marcelo; Vice Dean Ken Gie Anthony G. Cruel (survey data)</t>
        </is>
      </c>
      <c r="F99" s="4" t="n">
        <v>46332</v>
      </c>
      <c r="G99" s="5" t="inlineStr">
        <is>
          <t>Not started</t>
        </is>
      </c>
      <c r="H99" s="6" t="n">
        <v>0</v>
      </c>
      <c r="I99" s="7" t="inlineStr">
        <is>
          <t>Determination by 30 Oct 2026: do per-unit tuition or annual miscellaneous fees change? Tuition workbook rates are blank (item 8). The acceptability survey (206 respondents; 6 faculty, 2 alumni) is not a consultation record. Form of proof under CMO 3 s.2012 not yet confirmed.</t>
        </is>
      </c>
    </row>
  </sheetData>
  <autoFilter ref="A4:I99"/>
  <mergeCells count="9">
    <mergeCell ref="A15:I15"/>
    <mergeCell ref="A2:I2"/>
    <mergeCell ref="A71:I71"/>
    <mergeCell ref="A5:I5"/>
    <mergeCell ref="A91:I91"/>
    <mergeCell ref="A1:I1"/>
    <mergeCell ref="A79:I79"/>
    <mergeCell ref="A8:I8"/>
    <mergeCell ref="A22:I22"/>
  </mergeCells>
  <conditionalFormatting sqref="A5:I99">
    <cfRule type="expression" priority="2" dxfId="7">
      <formula>AND(ISNUMBER($F5),$F5&lt;TODAY(),$G5&lt;&gt;"Done")</formula>
    </cfRule>
    <cfRule type="expression" priority="3" dxfId="6">
      <formula>AND(ISNUMBER($F5),$F5&gt;=TODAY(),$F5&lt;=TODAY()+7,$G5&lt;&gt;"Done")</formula>
    </cfRule>
  </conditionalFormatting>
  <conditionalFormatting sqref="G5:G99">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99" showDropDown="0" showInputMessage="0" showErrorMessage="0" allowBlank="0" type="list">
      <formula1>"Not started,In progress,For review,Done"</formula1>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60"/>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and carry no project work, but every faculty member, part-time included, must still lodge their own transcript and contract with HR for items 12 and 13. Because BSA, BSAIS and BSCS have no full-time faculty besides their Chair, manpower is borrowed through two college-wide pools. As of 13 September 2026 every full-time faculty member has a named, answerable task: the 12 pool writers are allocated specific courses below, and the other 15 hold a counted task until their Chair publishes the departmental allocation under items 76 to 80, due 25 September 2026.</t>
        </is>
      </c>
    </row>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21 items: #2–3, 15–26, 71–72, 82–86</t>
        </is>
      </c>
      <c r="D6" s="8" t="inlineStr">
        <is>
          <t>54 items: #1, 4, 6, 8–9, 11–12, 27–62, 67, 70, 73–80, 88</t>
        </is>
      </c>
      <c r="E6" s="9">
        <f>IF(COUNTIFS(Tracker!$D$5:$D$99,$A6,Tracker!$G$5:$G$99,"&lt;&gt;Done")=0,"—",_xlfn.MINIFS(Tracker!$F$5:$F$99,Tracker!$D$5:$D$99,$A6,Tracker!$G$5:$G$99,"&lt;&gt;Done"))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7 items: #1, 4–6, 70, 73, 87</t>
        </is>
      </c>
      <c r="D7" s="8" t="inlineStr">
        <is>
          <t>51 items: #7, 15–62, 72, 84</t>
        </is>
      </c>
      <c r="E7" s="9">
        <f>IF(COUNTIFS(Tracker!$D$5:$D$99,$A7,Tracker!$G$5:$G$99,"&lt;&gt;Done")=0,"—",_xlfn.MINIFS(Tracker!$F$5:$F$99,Tracker!$D$5:$D$99,$A7,Tracker!$G$5:$G$99,"&lt;&gt;Done"))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4 items: #7, 14, 81, 88</t>
        </is>
      </c>
      <c r="D8" s="3" t="inlineStr">
        <is>
          <t>8 items: #1, 3, 10, 13, 64–65, 71, 87</t>
        </is>
      </c>
      <c r="E8" s="4">
        <f>IF(COUNTIFS(Tracker!$D$5:$D$99,$A8,Tracker!$G$5:$G$99,"&lt;&gt;Done")=0,"—",_xlfn.MINIFS(Tracker!$F$5:$F$99,Tracker!$D$5:$D$99,$A8,Tracker!$G$5:$G$99,"&lt;&gt;Done"))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2 items: #71, 81</t>
        </is>
      </c>
      <c r="E9" s="4">
        <f>IF(COUNTIFS(Tracker!$D$5:$D$99,$A9,Tracker!$G$5:$G$99,"&lt;&gt;Done")=0,"—",_xlfn.MINIFS(Tracker!$F$5:$F$99,Tracker!$D$5:$D$99,$A9,Tracker!$G$5:$G$99,"&lt;&gt;Done"))</f>
        <v/>
      </c>
    </row>
    <row r="10" ht="15" customHeight="1" s="31">
      <c r="A10" s="3" t="inlineStr">
        <is>
          <t>HR Officer Ellarein Richelle Dela Cruz</t>
        </is>
      </c>
      <c r="B10" s="3" t="inlineStr">
        <is>
          <t>Owner of all administrator, faculty and personnel records</t>
        </is>
      </c>
      <c r="C10" s="3" t="inlineStr">
        <is>
          <t>5 items: #9–13</t>
        </is>
      </c>
      <c r="D10" s="3" t="inlineStr">
        <is>
          <t>4 items: #14, 63, 85–86</t>
        </is>
      </c>
      <c r="E10" s="4">
        <f>IF(COUNTIFS(Tracker!$D$5:$D$99,$A10,Tracker!$G$5:$G$99,"&lt;&gt;Done")=0,"—",_xlfn.MINIFS(Tracker!$F$5:$F$99,Tracker!$D$5:$D$99,$A10,Tracker!$G$5:$G$99,"&lt;&gt;Done"))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IF(COUNTIFS(Tracker!$D$5:$D$99,$A11,Tracker!$G$5:$G$99,"&lt;&gt;Done")=0,"—",_xlfn.MINIFS(Tracker!$F$5:$F$99,Tracker!$D$5:$D$99,$A11,Tracker!$G$5:$G$99,"&lt;&gt;Done"))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 LEAD of the General Education Syllabi Pool (item 74) — allocates the 20 shared courses across its 8 writers, issues the common syllabus template, sets the internal hand-in dates and reports slippage to the Vice Dean</t>
        </is>
      </c>
      <c r="C12" s="3" t="inlineStr">
        <is>
          <t>14 items: #51–62, 74, 79</t>
        </is>
      </c>
      <c r="D12" s="3" t="inlineStr">
        <is>
          <t>7 items: #2, 4, 6, 11–12, 67, 87</t>
        </is>
      </c>
      <c r="E12" s="4">
        <f>IF(COUNTIFS(Tracker!$D$5:$D$99,$A12,Tracker!$G$5:$G$99,"&lt;&gt;Done")=0,"—",_xlfn.MINIFS(Tracker!$F$5:$F$99,Tracker!$D$5:$D$99,$A12,Tracker!$G$5:$G$99,"&lt;&gt;Done"))</f>
        <v/>
      </c>
    </row>
    <row r="13" ht="35" customHeight="1" s="31">
      <c r="A13" s="3" t="inlineStr">
        <is>
          <t>Program Chair Ranilo S. Castillo II</t>
        </is>
      </c>
      <c r="B13" s="3" t="inlineStr">
        <is>
          <t>Program Chair, Business Administration — BSBA curriculum; his department supplies the Business Cluster Pool for BSA, BSAIS and BSHM; LEAD of the Business Cluster Pool (item 75) — fixes the definitive shared-course list, allocates it across its 4 writers, sets the internal hand-in dates and reports slippage to the Vice Dean</t>
        </is>
      </c>
      <c r="C13" s="3" t="inlineStr">
        <is>
          <t>8 items: #27–32, 75, 80</t>
        </is>
      </c>
      <c r="D13" s="3" t="inlineStr">
        <is>
          <t>8 items: #2, 4, 6, 11–12, 67, 74, 87</t>
        </is>
      </c>
      <c r="E13" s="4">
        <f>IF(COUNTIFS(Tracker!$D$5:$D$99,$A13,Tracker!$G$5:$G$99,"&lt;&gt;Done")=0,"—",_xlfn.MINIFS(Tracker!$F$5:$F$99,Tracker!$D$5:$D$99,$A13,Tracker!$G$5:$G$99,"&lt;&gt;Done"))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7 items: #33–38, 78</t>
        </is>
      </c>
      <c r="D14" s="3" t="inlineStr">
        <is>
          <t>8 items: #2, 4, 6, 11–12, 67, 74, 87</t>
        </is>
      </c>
      <c r="E14" s="4">
        <f>IF(COUNTIFS(Tracker!$D$5:$D$99,$A14,Tracker!$G$5:$G$99,"&lt;&gt;Done")=0,"—",_xlfn.MINIFS(Tracker!$F$5:$F$99,Tracker!$D$5:$D$99,$A14,Tracker!$G$5:$G$99,"&lt;&gt;Done"))</f>
        <v/>
      </c>
    </row>
    <row r="15" ht="23.75" customHeight="1" s="31">
      <c r="A15" s="3" t="inlineStr">
        <is>
          <t>Program Chair Stephanie S. Ciasico</t>
        </is>
      </c>
      <c r="B15" s="3" t="inlineStr">
        <is>
          <t>Program Chair, Hospitality Management — BSHM curriculum; chairs its Curriculum &amp; Syllabi Committee</t>
        </is>
      </c>
      <c r="C15" s="3" t="inlineStr">
        <is>
          <t>7 items: #39–44, 77</t>
        </is>
      </c>
      <c r="D15" s="3" t="inlineStr">
        <is>
          <t>9 items: #2, 4, 6, 11–12, 67, 74–75, 87</t>
        </is>
      </c>
      <c r="E15" s="4">
        <f>IF(COUNTIFS(Tracker!$D$5:$D$99,$A15,Tracker!$G$5:$G$99,"&lt;&gt;Done")=0,"—",_xlfn.MINIFS(Tracker!$F$5:$F$99,Tracker!$D$5:$D$99,$A15,Tracker!$G$5:$G$99,"&lt;&gt;Done"))</f>
        <v/>
      </c>
    </row>
    <row r="16" ht="23.75" customHeight="1" s="31">
      <c r="A16" s="3" t="inlineStr">
        <is>
          <t>Program Chair Samantha Rose C. Pisto</t>
        </is>
      </c>
      <c r="B16" s="3" t="inlineStr">
        <is>
          <t>Program Chair, Criminal Justice Education — BSCRIM curriculum; chairs its Curriculum &amp; Syllabi Committee</t>
        </is>
      </c>
      <c r="C16" s="3" t="inlineStr">
        <is>
          <t>7 items: #45–50, 76</t>
        </is>
      </c>
      <c r="D16" s="3" t="inlineStr">
        <is>
          <t>8 items: #2, 4, 6, 11–12, 67, 74, 87</t>
        </is>
      </c>
      <c r="E16" s="4">
        <f>IF(COUNTIFS(Tracker!$D$5:$D$99,$A16,Tracker!$G$5:$G$99,"&lt;&gt;Done")=0,"—",_xlfn.MINIFS(Tracker!$F$5:$F$99,Tracker!$D$5:$D$99,$A16,Tracker!$G$5:$G$99,"&lt;&gt;Done"))</f>
        <v/>
      </c>
    </row>
    <row r="17" ht="15" customHeight="1" s="31">
      <c r="A17" s="3" t="inlineStr">
        <is>
          <t>Finance Officer Dana Marcelo</t>
        </is>
      </c>
      <c r="B17" s="3" t="inlineStr">
        <is>
          <t>Trimestral tuition and fee schedule</t>
        </is>
      </c>
      <c r="C17" s="3" t="inlineStr">
        <is>
          <t>1 item: #8</t>
        </is>
      </c>
      <c r="D17" s="3" t="inlineStr">
        <is>
          <t>1 item: #88</t>
        </is>
      </c>
      <c r="E17" s="4">
        <f>IF(COUNTIFS(Tracker!$D$5:$D$99,$A17,Tracker!$G$5:$G$99,"&lt;&gt;Done")=0,"—",_xlfn.MINIFS(Tracker!$F$5:$F$99,Tracker!$D$5:$D$99,$A17,Tracker!$G$5:$G$99,"&lt;&gt;Done"))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4 items: #5, 82–84</t>
        </is>
      </c>
      <c r="E18" s="4">
        <f>IF(COUNTIFS(Tracker!$D$5:$D$99,$A18,Tracker!$G$5:$G$99,"&lt;&gt;Done")=0,"—",_xlfn.MINIFS(Tracker!$F$5:$F$99,Tracker!$D$5:$D$99,$A18,Tracker!$G$5:$G$99,"&lt;&gt;Done"))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Francisco, Josephine Rose, CPA</t>
        </is>
      </c>
      <c r="B20" s="10" t="inlineStr">
        <is>
          <t>Named in the Proposed Faculty Loading, First Year Trimesters 1–3 — teaches AE13-FAR Financial Accounting and Reporting (T1), AE14-CFAS Conceptual Framework and Accounting Standards (T2). Writes the course description and outcomes-based syllabus for those courses.</t>
        </is>
      </c>
      <c r="C20" s="10" t="inlineStr">
        <is>
          <t>None — support role only</t>
        </is>
      </c>
      <c r="D20" s="10" t="inlineStr">
        <is>
          <t>4 items: #19–20, 25–26</t>
        </is>
      </c>
      <c r="E20" s="11" t="inlineStr">
        <is>
          <t>—</t>
        </is>
      </c>
    </row>
    <row r="21" ht="15" customHeight="1" s="31">
      <c r="A21" s="10" t="inlineStr">
        <is>
          <t>Empay, Jan Rhommer, CPA</t>
        </is>
      </c>
      <c r="B21" s="10" t="inlineStr">
        <is>
          <t>Named in the Proposed Faculty Loading, First Year Trimesters 1–3 — teaches CBME 1 Operations Management and TQM (T1), AE1-BL1 Law on Obligations and Contracts (T3). Writes the course description and outcomes-based syllabus for those courses.</t>
        </is>
      </c>
      <c r="C21" s="10" t="inlineStr">
        <is>
          <t>None — support role only</t>
        </is>
      </c>
      <c r="D21" s="10" t="inlineStr">
        <is>
          <t>4 items: #19–20, 25–26</t>
        </is>
      </c>
    </row>
    <row r="22" ht="35" customHeight="1" s="31">
      <c r="A22" s="10" t="inlineStr">
        <is>
          <t>Santiago, Decirae Nicole, CPA</t>
        </is>
      </c>
      <c r="B22" s="10" t="inlineStr">
        <is>
          <t>Named in the Proposed Faculty Loading, First Year Trimesters 1–3 — teaches AE4-MGT1 Management Science (T3). Writes the course description and outcomes-based syllabus for those courses.</t>
        </is>
      </c>
      <c r="C22" s="10" t="inlineStr">
        <is>
          <t>None — support role only</t>
        </is>
      </c>
      <c r="D22" s="10" t="inlineStr">
        <is>
          <t>4 items: #19–20, 25–26</t>
        </is>
      </c>
    </row>
    <row r="23" ht="35" customHeight="1" s="31">
      <c r="A23" s="10" t="inlineStr">
        <is>
          <t>Cruz, Rommel, CPA</t>
        </is>
      </c>
      <c r="B23" s="10" t="inlineStr">
        <is>
          <t>Named in the Proposed Faculty Loading, First Year Trimesters 1–3 — teaches AE19-FINMGT Financial Management (T3). Writes the course description and outcomes-based syllabus for those courses.</t>
        </is>
      </c>
      <c r="C23" s="10" t="inlineStr">
        <is>
          <t>None — support role only</t>
        </is>
      </c>
      <c r="D23" s="10" t="inlineStr">
        <is>
          <t>4 items: #19–20, 25–26</t>
        </is>
      </c>
    </row>
    <row r="24" ht="35" customHeight="1" s="31">
      <c r="A24" s="10" t="inlineStr">
        <is>
          <t>— still no full-time faculty besides the Chair —</t>
        </is>
      </c>
      <c r="B24" s="10" t="inlineStr">
        <is>
          <t>The four above are part-time. The General Education, PE, NSTP and CLE courses of the First Year loading are written by the pool writers listed under Teacher Education and Criminal Justice Education. The Article VI full-time faculty requirement is still open — see Open Item 9.</t>
        </is>
      </c>
      <c r="C24" s="10" t="inlineStr">
        <is>
          <t>—</t>
        </is>
      </c>
      <c r="D24" s="10" t="inlineStr">
        <is>
          <t>—</t>
        </is>
      </c>
    </row>
    <row r="25" ht="35" customHeight="1" s="31">
      <c r="A25" s="27" t="inlineStr">
        <is>
          <t>BUSINESS ADMINISTRATION — Curriculum &amp; Syllabi Committee for BSBA (chaired by Chair Castillo)  (4 full-time faculty tasked; 1 part-time not tasked)</t>
        </is>
      </c>
      <c r="B25" s="28" t="n"/>
      <c r="C25" s="28" t="n"/>
      <c r="D25" s="28" t="n"/>
      <c r="E25" s="29" t="n"/>
    </row>
    <row r="26" ht="15" customHeight="1" s="31">
      <c r="A26" s="3" t="inlineStr">
        <is>
          <t>Aquino, Ann Jellie B.</t>
        </is>
      </c>
      <c r="B26" s="3" t="inlineStr">
        <is>
          <t>Business Cluster Pool writer (item 75) — writes the course description AND the OBE syllabus for 3 courses: AE11-ECO1 Managerial Economics; AE12-ECO2 Economic Development; AE5-IBT International Business and Trade.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6" s="3" t="inlineStr">
        <is>
          <t>None — support role only</t>
        </is>
      </c>
      <c r="D26" s="3" t="inlineStr">
        <is>
          <t>13 items: #4–6, 19–20, 25–26, 31–32, 43–44, 75, 80</t>
        </is>
      </c>
      <c r="E26"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7" ht="23.75" customHeight="1" s="31">
      <c r="A27" s="3" t="inlineStr">
        <is>
          <t>Bauat, Jhosalyn</t>
        </is>
      </c>
      <c r="B27" s="3" t="inlineStr">
        <is>
          <t>Business Cluster Pool writer (item 75) — writes the course description AND the OBE syllabus for 4 courses: CBME 1 Operations Management and TQM; CBME 2 Strategic Management; AE4-MGT1 Management Science; PE1-HBO Human Behavior in Organizations. 8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7" s="3" t="inlineStr">
        <is>
          <t>None — support role only</t>
        </is>
      </c>
      <c r="D27" s="3" t="inlineStr">
        <is>
          <t>10 items: #19–20, 25–26, 31–32, 43–44, 75, 80</t>
        </is>
      </c>
      <c r="E27"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8" ht="23.75" customHeight="1" s="31">
      <c r="A28" s="3" t="inlineStr">
        <is>
          <t>Dela Cruz, Jacqueline</t>
        </is>
      </c>
      <c r="B28" s="3" t="inlineStr">
        <is>
          <t>Business Cluster Pool writer (item 75) — writes the course description AND the OBE syllabus for 3 courses: AE19-FINMGT Financial Management; AE18-FINMKT Financial Markets; AE10-GOV Governance, Business Ethics, Risk Management and Internal Control.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5 preps this semester]</t>
        </is>
      </c>
      <c r="C28" s="3" t="inlineStr">
        <is>
          <t>None — support role only</t>
        </is>
      </c>
      <c r="D28" s="3" t="inlineStr">
        <is>
          <t>12 items: #19–20, 25–26, 31–32, 43–44, 66–67, 75, 80</t>
        </is>
      </c>
      <c r="E28"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9" ht="23.75" customHeight="1" s="31">
      <c r="A29" s="3" t="inlineStr">
        <is>
          <t>Salas, Kristine Joy</t>
        </is>
      </c>
      <c r="B29" s="3" t="inlineStr">
        <is>
          <t>Business Cluster Pool writer (item 75) — writes the course description AND the OBE syllabus for 3 courses: AE1-BL1 Law on Obligations and Contracts; AE2-BL2 Business Laws and Regulations; AE3-BL3 Regulatory Framework and Legal Issues in Business.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9" s="3" t="inlineStr">
        <is>
          <t>None — support role only</t>
        </is>
      </c>
      <c r="D29" s="3" t="inlineStr">
        <is>
          <t>10 items: #19–20, 25–26, 31–32, 43–44, 75, 80</t>
        </is>
      </c>
      <c r="E29"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30" ht="23.75" customHeight="1" s="31">
      <c r="A30" s="27" t="inlineStr">
        <is>
          <t>CRIMINAL JUSTICE EDUCATION — Curriculum &amp; Syllabi Committee for BSCRIM (chaired by Chair Pisto)  (5 full-time faculty tasked; 1 part-time not tasked)</t>
        </is>
      </c>
      <c r="B30" s="28" t="n"/>
      <c r="C30" s="28" t="n"/>
      <c r="D30" s="28" t="n"/>
      <c r="E30" s="29" t="n"/>
    </row>
    <row r="31" ht="23.75" customHeight="1" s="31">
      <c r="A31" s="3" t="inlineStr">
        <is>
          <t>Arimbuyutan, Jazzele M.</t>
        </is>
      </c>
      <c r="B31" s="3" t="inlineStr">
        <is>
          <t>Curriculum &amp; Syllabi — BSCRIM; Feasibility &amp; Market Study  [FT, 21 units, 4 preps this semester]</t>
        </is>
      </c>
      <c r="C31" s="3" t="inlineStr">
        <is>
          <t>None — support role only</t>
        </is>
      </c>
      <c r="D31" s="3" t="inlineStr">
        <is>
          <t>6 items: #4–6, 49–50, 76</t>
        </is>
      </c>
      <c r="E31"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32" ht="15" customHeight="1" s="31">
      <c r="A32" s="3" t="inlineStr">
        <is>
          <t>Dela Cruz, Jhon Allen R.</t>
        </is>
      </c>
      <c r="B32" s="3" t="inlineStr">
        <is>
          <t>Curriculum &amp; Syllabi — BSCRIM  [FT, 22 units, 5 preps this semester]</t>
        </is>
      </c>
      <c r="C32" s="3" t="inlineStr">
        <is>
          <t>None — support role only</t>
        </is>
      </c>
      <c r="D32" s="3" t="inlineStr">
        <is>
          <t>3 items: #49–50, 76</t>
        </is>
      </c>
      <c r="E32" s="4">
        <f>IF(MIN(IF(Tracker!$G$57="Done",99999,Tracker!$F$57),IF(Tracker!$G$58="Done",99999,Tracker!$F$58))=99999,"—",MIN(IF(Tracker!$G$57="Done",99999,Tracker!$F$57),IF(Tracker!$G$58="Done",99999,Tracker!$F$58)))</f>
        <v/>
      </c>
    </row>
    <row r="33" ht="23.75" customHeight="1" s="31">
      <c r="A33" s="3" t="inlineStr">
        <is>
          <t>Diaz, Pamela B.</t>
        </is>
      </c>
      <c r="B33" s="3" t="inlineStr">
        <is>
          <t>Curriculum &amp; Syllabi — BSCRIM  [FT, 22 units, 5 preps this semester]</t>
        </is>
      </c>
      <c r="C33" s="3" t="inlineStr">
        <is>
          <t>None — support role only</t>
        </is>
      </c>
      <c r="D33" s="3" t="inlineStr">
        <is>
          <t>3 items: #49–50, 76</t>
        </is>
      </c>
      <c r="E33" s="4">
        <f>IF(MIN(IF(Tracker!$G$57="Done",99999,Tracker!$F$57),IF(Tracker!$G$58="Done",99999,Tracker!$F$58))=99999,"—",MIN(IF(Tracker!$G$57="Done",99999,Tracker!$F$57),IF(Tracker!$G$58="Done",99999,Tracker!$F$58)))</f>
        <v/>
      </c>
    </row>
    <row r="34" ht="15" customHeight="1" s="31">
      <c r="A34" s="3" t="inlineStr">
        <is>
          <t>Pamiloza, Honey Mica R.</t>
        </is>
      </c>
      <c r="B34" s="3" t="inlineStr">
        <is>
          <t>Curriculum &amp; Syllabi — BSCRIM  [FT, 21 units, 4 preps this semester]</t>
        </is>
      </c>
      <c r="C34" s="3" t="inlineStr">
        <is>
          <t>None — support role only</t>
        </is>
      </c>
      <c r="D34" s="3" t="inlineStr">
        <is>
          <t>3 items: #49–50, 76</t>
        </is>
      </c>
      <c r="E34" s="4">
        <f>IF(MIN(IF(Tracker!$G$57="Done",99999,Tracker!$F$57),IF(Tracker!$G$58="Done",99999,Tracker!$F$58))=99999,"—",MIN(IF(Tracker!$G$57="Done",99999,Tracker!$F$57),IF(Tracker!$G$58="Done",99999,Tracker!$F$58)))</f>
        <v/>
      </c>
    </row>
    <row r="35" ht="23.75" customHeight="1" s="31">
      <c r="A35" s="3" t="inlineStr">
        <is>
          <t>Ramos, Leandro M.</t>
        </is>
      </c>
      <c r="B35" s="3" t="inlineStr">
        <is>
          <t>Curriculum &amp; Syllabi — BSCRIM; Library Collection  [FT, 18 units, 4 preps this semester]</t>
        </is>
      </c>
      <c r="C35" s="3" t="inlineStr">
        <is>
          <t>None — support role only</t>
        </is>
      </c>
      <c r="D35" s="3" t="inlineStr">
        <is>
          <t>5 items: #49–50, 66–67, 76</t>
        </is>
      </c>
      <c r="E35"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6" ht="23.75" customHeight="1" s="31">
      <c r="A36" s="27" t="inlineStr">
        <is>
          <t>COMPUTER SCIENCE — Curriculum &amp; Syllabi Committee for BSCS (chaired by Chair Diamat)  (1 full-time faculty tasked; 5 part-time not tasked)</t>
        </is>
      </c>
      <c r="B36" s="28" t="n"/>
      <c r="C36" s="28" t="n"/>
      <c r="D36" s="28" t="n"/>
      <c r="E36" s="29" t="n"/>
    </row>
    <row r="37" ht="23.75" customHeight="1" s="31">
      <c r="A37" s="3" t="inlineStr">
        <is>
          <t>Cristobal, Teofilo G.</t>
        </is>
      </c>
      <c r="B37" s="3" t="inlineStr">
        <is>
          <t>Curriculum &amp; Syllabi — BSCS  [FT, 24 units, 3 preps this semester]</t>
        </is>
      </c>
      <c r="C37" s="3" t="inlineStr">
        <is>
          <t>None — support role only</t>
        </is>
      </c>
      <c r="D37" s="3" t="inlineStr">
        <is>
          <t>3 items: #37–38, 78</t>
        </is>
      </c>
      <c r="E37" s="4">
        <f>IF(MIN(IF(Tracker!$G$45="Done",99999,Tracker!$F$45),IF(Tracker!$G$46="Done",99999,Tracker!$F$46))=99999,"—",MIN(IF(Tracker!$G$45="Done",99999,Tracker!$F$45),IF(Tracker!$G$46="Done",99999,Tracker!$F$46)))</f>
        <v/>
      </c>
    </row>
    <row r="38" ht="15" customHeight="1" s="31">
      <c r="A38" s="27" t="inlineStr">
        <is>
          <t>HOSPITALITY MANAGEMENT — Curriculum &amp; Syllabi Committee for BSHM (chaired by Chair Ciasico)  (3 full-time faculty tasked; 5 part-time not tasked)</t>
        </is>
      </c>
      <c r="B38" s="28" t="n"/>
      <c r="C38" s="28" t="n"/>
      <c r="D38" s="28" t="n"/>
      <c r="E38" s="29" t="n"/>
    </row>
    <row r="39" ht="23.75" customHeight="1" s="31">
      <c r="A39" s="3" t="inlineStr">
        <is>
          <t>Bernardo, Romeo DG</t>
        </is>
      </c>
      <c r="B39" s="3" t="inlineStr">
        <is>
          <t>Curriculum &amp; Syllabi — BSHM; Library Collection  [FT, 21 units, 4 preps this semester]</t>
        </is>
      </c>
      <c r="C39" s="3" t="inlineStr">
        <is>
          <t>None — support role only</t>
        </is>
      </c>
      <c r="D39" s="3" t="inlineStr">
        <is>
          <t>7 items: #43–44, 66–69, 77</t>
        </is>
      </c>
      <c r="E39"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40" ht="35" customHeight="1" s="31">
      <c r="A40" s="3" t="inlineStr">
        <is>
          <t>Dela Cruz, Jonathan</t>
        </is>
      </c>
      <c r="B40" s="3" t="inlineStr">
        <is>
          <t>Curriculum &amp; Syllabi — BSHM; Feasibility &amp; Market Study  [FT, 18 units, 4 preps this semester]</t>
        </is>
      </c>
      <c r="C40" s="3" t="inlineStr">
        <is>
          <t>None — support role only</t>
        </is>
      </c>
      <c r="D40" s="3" t="inlineStr">
        <is>
          <t>6 items: #4–6, 43–44, 77</t>
        </is>
      </c>
      <c r="E40"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41" ht="23.75" customHeight="1" s="31">
      <c r="A41" s="3" t="inlineStr">
        <is>
          <t>Geronimo, Jing Feng A., LPT</t>
        </is>
      </c>
      <c r="B41" s="3" t="inlineStr">
        <is>
          <t>Curriculum &amp; Syllabi — BSHM  [FT, 24 units, 4 preps this semester]</t>
        </is>
      </c>
      <c r="C41" s="3" t="inlineStr">
        <is>
          <t>None — support role only</t>
        </is>
      </c>
      <c r="D41" s="3" t="inlineStr">
        <is>
          <t>3 items: #43–44, 77</t>
        </is>
      </c>
      <c r="E41" s="4">
        <f>IF(MIN(IF(Tracker!$G$51="Done",99999,Tracker!$F$51),IF(Tracker!$G$52="Done",99999,Tracker!$F$52))=99999,"—",MIN(IF(Tracker!$G$51="Done",99999,Tracker!$F$51),IF(Tracker!$G$52="Done",99999,Tracker!$F$52)))</f>
        <v/>
      </c>
    </row>
    <row r="42" ht="35" customHeight="1" s="31">
      <c r="A42" s="27" t="inlineStr">
        <is>
          <t>TEACHER EDUCATION — Curriculum &amp; Syllabi Committee for BEED and BSED (chaired by Chair K. Garcia)  (14 full-time faculty tasked; 4 part-time not tasked)</t>
        </is>
      </c>
      <c r="B42" s="28" t="n"/>
      <c r="C42" s="28" t="n"/>
      <c r="D42" s="28" t="n"/>
      <c r="E42" s="29" t="n"/>
    </row>
    <row r="43" ht="23.75" customHeight="1" s="31">
      <c r="A43" s="3" t="inlineStr">
        <is>
          <t>Ablaya, Stephanie</t>
        </is>
      </c>
      <c r="B43" s="3" t="inlineStr">
        <is>
          <t>Curriculum &amp; Syllabi — BEED/BSED; Feasibility &amp; Market Study  [FT, 27 units, 6 preps this semester]</t>
        </is>
      </c>
      <c r="C43" s="3" t="inlineStr">
        <is>
          <t>None — support role only</t>
        </is>
      </c>
      <c r="D43" s="3" t="inlineStr">
        <is>
          <t>8 items: #4–6, 55–56, 61–62, 79</t>
        </is>
      </c>
      <c r="E43"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4" ht="23.75" customHeight="1" s="31">
      <c r="A44" s="3" t="inlineStr">
        <is>
          <t>Aquino, Agnes M., Dr.</t>
        </is>
      </c>
      <c r="B44" s="3" t="inlineStr">
        <is>
          <t>Curriculum &amp; Syllabi — BEED/BSED. Writes the course descriptions and OBE syllabi for the BEED and BSED major courses allocated to her under item 79, due 25 Sep 2026. Moved out of the General Education Syllabi Pool on 13 Sep 2026 so the major-course load is not carried on top of the college-wide general education work.  [FT, 24 units, 7 preps this semester]</t>
        </is>
      </c>
      <c r="C44" s="3" t="inlineStr">
        <is>
          <t>None — support role only</t>
        </is>
      </c>
      <c r="D44" s="3" t="inlineStr">
        <is>
          <t>5 items: #55–56, 61–62, 79</t>
        </is>
      </c>
      <c r="E44"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5" ht="35" customHeight="1" s="31">
      <c r="A45" s="3" t="inlineStr">
        <is>
          <t>Cajucom, Ryan Neil</t>
        </is>
      </c>
      <c r="B45" s="3" t="inlineStr">
        <is>
          <t>Curriculum &amp; Syllabi — BEED/BSED  [FT, 27 units, 6 preps this semester]</t>
        </is>
      </c>
      <c r="C45" s="3" t="inlineStr">
        <is>
          <t>None — support role only</t>
        </is>
      </c>
      <c r="D45" s="3" t="inlineStr">
        <is>
          <t>5 items: #55–56, 61–62, 79</t>
        </is>
      </c>
      <c r="E45"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6" ht="35" customHeight="1" s="31">
      <c r="A46" s="3" t="inlineStr">
        <is>
          <t>Calma, Shiela Mae C.</t>
        </is>
      </c>
      <c r="B46" s="3" t="inlineStr">
        <is>
          <t>General Education Syllabi Pool writer (item 74) — writes the course description AND the OBE syllabus for 3 courses, one set serving all 8 programmes: PATH-FIT 1 Movement Competency Training; PATH-FIT 2 Exercise-Based Fitness Activities; NSTP 1 Civic Welfare Training Service 1. 6 documents. To Chair K. Garcia: descriptions 9 Oct, syllabi 16 Oct 2026. Also Curriculum &amp; Syllabi — BEED/BSED (not allocated BEED/BSED major courses under item 79 while carrying this pool load).  [FT, 24 units, 4 preps this semester]</t>
        </is>
      </c>
      <c r="C46" s="3" t="inlineStr">
        <is>
          <t>None — support role only</t>
        </is>
      </c>
      <c r="D46" s="3" t="inlineStr">
        <is>
          <t>17 items: #19–20, 25–26, 31–32, 37–38, 43–44, 49–50, 55–56, 61–62, 74</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Delos Reyes, Diana Maris</t>
        </is>
      </c>
      <c r="B47" s="3" t="inlineStr">
        <is>
          <t>Curriculum &amp; Syllabi — BEED/BSED  [FT, 27 units, 7 preps this semester]</t>
        </is>
      </c>
      <c r="C47" s="3" t="inlineStr">
        <is>
          <t>None — support role only</t>
        </is>
      </c>
      <c r="D47" s="3" t="inlineStr">
        <is>
          <t>5 items: #55–56, 61–62, 79</t>
        </is>
      </c>
      <c r="E47"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8" ht="35" customHeight="1" s="31">
      <c r="A48" s="3" t="inlineStr">
        <is>
          <t>Germino, Melanie</t>
        </is>
      </c>
      <c r="B48" s="3" t="inlineStr">
        <is>
          <t>Curriculum &amp; Syllabi — BEED/BSED  [FT, 27 units, 7 preps this semester] Joins the General Education Syllabi Pool for HIS-GEC (item 74), reallocated from D. Maglalang on her resignation.</t>
        </is>
      </c>
      <c r="C48" s="3" t="inlineStr">
        <is>
          <t>None — support role only</t>
        </is>
      </c>
      <c r="D48" s="3" t="inlineStr">
        <is>
          <t>5 items: #55–56, 61–62, 79, 74</t>
        </is>
      </c>
      <c r="E48"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9" ht="35" customHeight="1" s="31">
      <c r="A49" s="3" t="inlineStr">
        <is>
          <t>Ilag, Ferdinand T.</t>
        </is>
      </c>
      <c r="B49" s="3" t="inlineStr">
        <is>
          <t>General Education Syllabi Pool writer (item 74) — writes the course description AND the OBE syllabus for 3 courses, one set serving all 8 programmes: REL-GEC Religion, Religious Experience and Spirituality; CLE 1 Church and Salvation History; STS-GEC Science, Technology and Society. 6 documents. To Chair K. Garcia: descriptions 9 Oct, syllabi 16 Oct 2026. Also Curriculum &amp; Syllabi — BEED/BSED (not allocated BEED/BSED major courses under item 79 while carrying this pool load).  [FT, 21 units, 3 preps this semester] Also CLE 2 (item 74), reallocated from D. Maglalang.</t>
        </is>
      </c>
      <c r="C49" s="3" t="inlineStr">
        <is>
          <t>None — support role only</t>
        </is>
      </c>
      <c r="D49" s="3" t="inlineStr">
        <is>
          <t>17 items: #19–20, 25–26, 31–32, 37–38, 43–44, 49–50, 55–56, 61–62, 74</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Jamlang, Jamie A.</t>
        </is>
      </c>
      <c r="B50" s="3" t="inlineStr">
        <is>
          <t>General Education Syllabi Pool writer (item 74) — writes the course description AND the OBE syllabus for 2 courses, one set serving all 8 programmes: CON-GEC The Contemporary World; ITE-GEC Living in the I.T. Era. 4 documents. To Chair K. Garcia: descriptions 9 Oct, syllabi 16 Oct 2026. Also Curriculum &amp; Syllabi — BEED/BSED (not allocated BEED/BSED major courses under item 79 while carrying this pool load).  [FT, 27 units, 5 preps this semester] Also RIZ-GEC (item 74), reallocated from D. Maglalang.</t>
        </is>
      </c>
      <c r="C50" s="3" t="inlineStr">
        <is>
          <t>None — support role only</t>
        </is>
      </c>
      <c r="D50" s="3" t="inlineStr">
        <is>
          <t>17 items: #19–20, 25–26, 31–32, 37–38, 43–44, 49–50, 55–56, 61–62, 74</t>
        </is>
      </c>
      <c r="E5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1" ht="35" customHeight="1" s="31">
      <c r="A51" s="3" t="inlineStr">
        <is>
          <t>Manuel, Consuelo V., Dr.</t>
        </is>
      </c>
      <c r="B51" s="3" t="inlineStr">
        <is>
          <t>General Education Syllabi Pool writer (item 74) — writes the course description AND the OBE syllabus for 3 courses, one set serving all 8 programmes: ETH-GEC Ethics; MAT-GEC Mathematics in the Modern World; BL-GEC Business Logic. 6 documents. To Chair K. Garcia: descriptions 9 Oct, syllabi 16 Oct 2026. Also Curriculum &amp; Syllabi — BEED/BSED (not allocated BEED/BSED major courses under item 79 while carrying this pool load).  [FT, 24 units, 4 preps this semester]</t>
        </is>
      </c>
      <c r="C51" s="3" t="inlineStr">
        <is>
          <t>None — support role only</t>
        </is>
      </c>
      <c r="D51" s="3" t="inlineStr">
        <is>
          <t>17 items: #19–20, 25–26, 31–32, 37–38, 43–44, 49–50, 55–56, 61–62, 74</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Mequiabas, Meah</t>
        </is>
      </c>
      <c r="B52" s="3" t="inlineStr">
        <is>
          <t>General Education Syllabi Pool writer (item 74) — writes the course description AND the OBE syllabus for 3 courses, one set serving all 8 programmes: PATH-FIT 3 Dance; PATH-FIT 4 Sports; NSTP 2 Civic Welfare Training Service 2. 6 documents. To Chair K. Garcia: descriptions 9 Oct, syllabi 16 Oct 2026. Also Curriculum &amp; Syllabi — BEED/BSED (not allocated BEED/BSED major courses under item 79 while carrying this pool load).  [FT, 26 units, 4 preps this semester]</t>
        </is>
      </c>
      <c r="C52" s="3" t="inlineStr">
        <is>
          <t>None — support role only</t>
        </is>
      </c>
      <c r="D52" s="3" t="inlineStr">
        <is>
          <t>17 items: #19–20, 25–26, 31–32, 37–38, 43–44, 49–50, 55–56, 61–62, 74</t>
        </is>
      </c>
      <c r="E5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3">
      <c r="A53" s="3" t="inlineStr">
        <is>
          <t>Sta. Cruz, Ma. Patricia</t>
        </is>
      </c>
      <c r="B53" s="3" t="inlineStr">
        <is>
          <t>Curriculum &amp; Syllabi — BEED/BSED; Library Collection  [FT, 27 units, 3 preps this semester]</t>
        </is>
      </c>
      <c r="C53" s="3" t="inlineStr">
        <is>
          <t>None — support role only</t>
        </is>
      </c>
      <c r="D53" s="3" t="inlineStr">
        <is>
          <t>9 items: #55–56, 61–62, 66–69, 79</t>
        </is>
      </c>
      <c r="E53"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4" ht="15" customHeight="1" s="31">
      <c r="A54" s="3" t="inlineStr">
        <is>
          <t>Tolosa, Nenita</t>
        </is>
      </c>
      <c r="B54" s="3" t="inlineStr">
        <is>
          <t>General Education Syllabi Pool writer (item 74) — writes the course description AND the OBE syllabus for 3 courses, one set serving all 8 programmes: ART-GEC Art Appreciation; COM-GEC Purposive Communication; US-GEC Understanding the Self. 6 documents. To Chair K. Garcia: descriptions 9 Oct, syllabi 16 Oct 2026. Also Curriculum &amp; Syllabi — BEED/BSED (not allocated BEED/BSED major courses under item 79 while carrying this pool load).  [FT, 24 units, 5 preps this semester]</t>
        </is>
      </c>
      <c r="C54" s="3" t="inlineStr">
        <is>
          <t>None — support role only</t>
        </is>
      </c>
      <c r="D54" s="3" t="inlineStr">
        <is>
          <t>17 items: #19–20, 25–26, 31–32, 37–38, 43–44, 49–50, 55–56, 61–62, 74</t>
        </is>
      </c>
      <c r="E54"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5" ht="135.75" customHeight="1" s="31">
      <c r="A55" s="3" t="inlineStr">
        <is>
          <t>Villamayor, Xyrelle</t>
        </is>
      </c>
      <c r="B55" s="3" t="inlineStr">
        <is>
          <t>Curriculum &amp; Syllabi — BEED/BSED  [FT, 27 units, 6 preps this semester]</t>
        </is>
      </c>
      <c r="C55" s="3" t="inlineStr">
        <is>
          <t>None — support role only</t>
        </is>
      </c>
      <c r="D55" s="3" t="inlineStr">
        <is>
          <t>5 items: #55–56, 61–62, 79</t>
        </is>
      </c>
      <c r="E55"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7" ht="15" customHeight="1" s="31">
      <c r="A57" s="33" t="inlineStr">
        <is>
          <t>PART-TIME FACULTY — NOT TASKED</t>
        </is>
      </c>
      <c r="B57" s="28" t="n"/>
      <c r="C57" s="28" t="n"/>
      <c r="D57" s="28" t="n"/>
      <c r="E57" s="29" t="n"/>
    </row>
    <row r="58">
      <c r="A58" s="12" t="inlineStr">
        <is>
          <t>21 part-time faculty</t>
        </is>
      </c>
      <c r="B58"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8" s="12" t="inlineStr">
        <is>
          <t>—</t>
        </is>
      </c>
      <c r="D58" s="12" t="inlineStr">
        <is>
          <t>—</t>
        </is>
      </c>
      <c r="E58" s="13" t="inlineStr">
        <is>
          <t>—</t>
        </is>
      </c>
    </row>
    <row r="60">
      <c r="A60" s="35" t="inlineStr">
        <is>
          <t>Check</t>
        </is>
      </c>
      <c r="B60" s="15">
        <f>COUNT(Tracker!$A$5:$A$99)&amp;" tracker items, each with exactly one accountable owner. "&amp;COUNTIF(Faculty!$E$5:$E$59,"FT")&amp;" full-time faculty tasked; "&amp;COUNTIF(Faculty!$E$5:$E$59,"PT")&amp;" part-time faculty not tasked."</f>
        <v/>
      </c>
    </row>
  </sheetData>
  <autoFilter ref="A4:E52"/>
  <mergeCells count="10">
    <mergeCell ref="A30:E30"/>
    <mergeCell ref="A57:E57"/>
    <mergeCell ref="A38:E38"/>
    <mergeCell ref="A2:E2"/>
    <mergeCell ref="A25:E25"/>
    <mergeCell ref="A42:E42"/>
    <mergeCell ref="A19:E19"/>
    <mergeCell ref="A1:E1"/>
    <mergeCell ref="A5:E5"/>
    <mergeCell ref="A36:E36"/>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9"/>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and the sample schedule sheet carrying the contact-hour computation. All 8 programmes are now at the same draft stage. NOTE: the calendar in this workbook was drawn on three terms of FIFTEEN academic weeks. The Council decided 14 weeks on 9 Sep 2026, so the calendar must be redrawn — including the enrolment, grade-processing and graduation dates — before any weekly schedule grid is finalised.</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 (superseded)</t>
        </is>
      </c>
      <c r="B21" s="3" t="inlineStr">
        <is>
          <t>SUPERSEDED 9 Sep 2026. Was 54 hours, set by the Vice Dean on 3 Sep 2026 when the term length was still open. Now 56 hours per 3-unit subject — see the Contact-hour standard entry in section D2.</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54 hours. Under the decided 14-week trimester at 56 hours, the same course runs exactly 4.0 weekly hours — a whole number, which the 54-hour figure never gave at either term length. So the column can stay on a weekly basis and simply be restated from 3 to 4. Still to decide before eight programmes populate the template: label the columns as weekly hours (4, 0, 4) or as total term hours (56, 0, 56), or carry both. See Open Item 6.</t>
        </is>
      </c>
    </row>
    <row r="33" ht="15" customHeight="1" s="31">
      <c r="A33" s="27" t="inlineStr">
        <is>
          <t>D. OPEN ITEMS — TO BE RESOLVED, NOT GUESSED</t>
        </is>
      </c>
      <c r="B33" s="29" t="n"/>
    </row>
    <row r="34" ht="124.5" customHeight="1" s="31">
      <c r="A34" s="17" t="inlineStr">
        <is>
          <t>Open Item 1 — RESOLVED 9 Sep 2026</t>
        </is>
      </c>
      <c r="B34" s="3" t="inlineStr">
        <is>
          <t>RESOLVED 9 Sep 2026 — 14 WEEKS. Decided by the Council of Programme Chairs. The contact-hour standard moves from 54 to 56 hours per 3-unit subject so that the week divides into whole periods: 56 hours over 14 weeks is 240 minutes a week, which splits into 2 x 120, 3 x 80 or 4 x 60 minutes. At 54 hours it would have been 231.43 minutes, which divides into nothing usable. 56 hours is 18.67 contact hours per unit against the CMO 27 &amp; 30 floor of 14 — 33 per cent above it, better headroom than the old 54. COSTS OF THE DECISION, recorded so they are not lost: (1) the daily student load over four teaching days rises to 8.00 hours on a 24-unit term and 8.33 on the two 25-unit BSCRIM trimesters; (2) the proposed AY 2027-2028 calendar was drawn on FIFTEEN academic weeks and must be redrawn. TWO THINGS STILL OWED FOR THE DOSSIER: the Council meeting date and the resolution number covering this decision. Note also that the CMO 27 &amp; 30 floor has only been read for BSA and BSAIS — each Chair still owes a check against their own PSG before the dossier states that 56 hours clears the floor for all eight.</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NARROWED 9 Sep 2026 by the Council's decision on Open Item 1: at 14 weeks and 56 hours the same course runs exactly 4.0 weekly hours, a whole number, so the arithmetic no longer fights the column. What remains is purely a labelling choice — restate the column as weekly hours (4, 0, 4), as total term hours (56, 0, 56), or carry both — and it must be settled before the other seven programmes populate the template, or all eight will need reworking.   [ Ask: Vice Dean / Chairs - blocks 48 rows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   BLOCKS ITEM 74: Chair K. Garcia cannot allocate 20 shared courses whose codes are not agreed, so this has to be settled before the General Education Syllabi Pool allocation due 25 Sep.</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56 hours per 3-unit subject across all 8 programmes, on a 14-week trimester. Decided by the Council of Programme Chairs, 9 Sep 2026, replacing the 54 hours set on 3 Sep 2026. Equals 18.67 hours per unit against the CMO 27 &amp; 30 floor of 14. A 3-unit subject is 240 minutes a week — 2 x 120, 3 x 80 or 4 x 60; a 6-unit subject is 112 hours; a 24-unit term is 448 hours. The weekly-hours column on the faculty roster no longer equals units: each unit draws exactly 1.333 weekly hours, so a 3-unit course is 4.0 weekly hours. HR must reflect this in the faculty spreadsheet for checklist item 5.1.</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4">
      <c r="A64" s="17" t="inlineStr">
        <is>
          <t>Term length</t>
        </is>
      </c>
      <c r="B64" s="3" t="inlineStr">
        <is>
          <t>14 weeks per trimester. Decided by the Council of Programme Chairs, 9 Sep 2026, closing Open Item 1. The contact-hour standard moved to 56 hours per 3-unit subject in the same decision so that the week divides into whole periods. The AY 2027-2028 academic calendar must be redrawn from 15 weeks to 14. Council meeting date and resolution number still to be supplied.</t>
        </is>
      </c>
    </row>
    <row r="65" ht="15" customHeight="1" s="31"/>
    <row r="66" ht="23.75" customHeight="1" s="31">
      <c r="A66" s="27" t="inlineStr">
        <is>
          <t>E. MANPOWER - FULL-TIME CAPACITY BY DEPARTMENT</t>
        </is>
      </c>
      <c r="B66" s="29" t="n"/>
    </row>
    <row r="67" ht="23.75" customHeight="1" s="31">
      <c r="A67" s="17" t="inlineStr">
        <is>
          <t>Rule applied</t>
        </is>
      </c>
      <c r="B67" s="3" t="inlineStr">
        <is>
          <t>Only full-time faculty are tasked. The 21 part-time faculty stay on the Faculty sheet because checklist item 5.1 requires every faculty member teaching general education and major courses, but they carry no project work and sit on no committee.</t>
        </is>
      </c>
    </row>
    <row r="68" ht="15" customHeight="1" s="31">
      <c r="A68" s="17" t="inlineStr">
        <is>
          <t>BSA &amp; BSAIS (Accountancy / AIS)</t>
        </is>
      </c>
      <c r="B68" s="3" t="inlineStr">
        <is>
          <t>6 faculty - 1 full-time (the Vice Dean, who is also the Chair). NO other full-time faculty. 5 part-time CPAs not tasked. The only department in the college with no full-time teaching capacity at all.</t>
        </is>
      </c>
    </row>
    <row r="69" ht="15" customHeight="1" s="31">
      <c r="A69" s="17" t="inlineStr">
        <is>
          <t>BSBA (Business Administration)</t>
        </is>
      </c>
      <c r="B69" s="3" t="inlineStr">
        <is>
          <t>6 faculty - 5 full-time, 4 taskable after the Chair. Supplies the Business Cluster Pool.</t>
        </is>
      </c>
    </row>
    <row r="70" ht="23.75" customHeight="1" s="31">
      <c r="A70" s="17" t="inlineStr">
        <is>
          <t>BS Criminology</t>
        </is>
      </c>
      <c r="B70" s="3" t="inlineStr">
        <is>
          <t>7 faculty - 6 full-time, 5 taskable after the Chair. Self-sufficient.</t>
        </is>
      </c>
    </row>
    <row r="71" ht="23.75" customHeight="1" s="31">
      <c r="A71" s="17" t="inlineStr">
        <is>
          <t>BS Computer Science</t>
        </is>
      </c>
      <c r="B71" s="3" t="inlineStr">
        <is>
          <t>7 faculty - 2 full-time: the Chair and Cristobal, Teofilo G. (confirmed by the Vice Dean as full-time in BSCS, not Teacher Education). 5 part-time not tasked.</t>
        </is>
      </c>
    </row>
    <row r="72" ht="23.75" customHeight="1" s="31">
      <c r="A72" s="17" t="inlineStr">
        <is>
          <t>BS Hospitality Management</t>
        </is>
      </c>
      <c r="B72" s="3" t="inlineStr">
        <is>
          <t>9 faculty - 4 full-time, 3 taskable after the Chair. Self-sufficient. Geronimo, Jing Feng A., LPT replaced Franco, Nadine Denise, who resigned.</t>
        </is>
      </c>
    </row>
    <row r="73">
      <c r="A73" s="17" t="inlineStr">
        <is>
          <t>Teacher Education (BEED / BSED)</t>
        </is>
      </c>
      <c r="B73" s="3" t="inlineStr">
        <is>
          <t>20 faculty - 16 full-time, 14 taskable after the Dean and the Chair. The only department with surplus - it supplies the General Education Syllabi Pool.</t>
        </is>
      </c>
    </row>
    <row r="74" ht="15" customHeight="1" s="31"/>
    <row r="75" ht="46.25" customHeight="1" s="31">
      <c r="A75" s="27" t="inlineStr">
        <is>
          <t>F. WORKING COMMITTEES AND BORROWED MANPOWER  (internal proposal - not a CHED requirement)</t>
        </is>
      </c>
      <c r="B75" s="29" t="n"/>
    </row>
    <row r="76" ht="57.5" customHeight="1" s="31">
      <c r="A76" s="17" t="inlineStr">
        <is>
          <t>General Education Syllabi Pool — lead: Chair Kent E. Garcia</t>
        </is>
      </c>
      <c r="B76" s="3" t="inlineStr">
        <is>
          <t>THE MAIN BORROWING. LEAD: Programme Chair Kent E. Garcia (named 9 Sep 2026). The 20 general education, PATH-FIT, NSTP and CLE courses are common to all 8 programmes, so they are written ONCE for the whole college instead of eight times — removing roughly 140 duplicated syllabi. Drawn from Teacher Education, the only department with surplus full-time capacity. WRITER ALLOCATION, revised 13 Sep 2026 — each writer produces the course description AND the OBE syllabus for every course listed: Ilag, Ferdinand T. — REL-GEC Religion, Religious Experience and Spirituality, CLE 1 Church and Salvation History, STS-GEC Science, Technology and Society. Maglalang, Danica — CLE 2 Evangelism and Discipleship, HIS-GEC Readings in Philippine History, RIZ-GEC Rizal's Life and Works. Calma, Shiela Mae C. — PATH-FIT 1 Movement Competency Training, PATH-FIT 2 Exercise-Based Fitness Activities, NSTP 1. Mequiabas, Meah — PATH-FIT 3 Dance, PATH-FIT 4 Sports, NSTP 2. Manuel, Consuelo V., Dr. — ETH-GEC Ethics, MAT-GEC Mathematics in the Modern World, BL-GEC Business Logic. Tolosa, Nenita — ART-GEC Art Appreciation, COM-GEC Purposive Communication, US-GEC Understanding the Self. Jamlang, Jamie A. — CON-GEC The Contemporary World, ITE-GEC Living in the I.T. Era (two only, on the heaviest teaching load in the pool). AQUINO, AGNES M., Dr. WAS MOVED OUT OF THIS POOL on 13 Sep 2026 by direction of the Vice Dean — she writes BEED/BSED major courses under item 79 instead, and the pool went from eight writers to seven. Internal hand-in to the lead: descriptions 9 Oct 2026, syllabi 16 Oct 2026. CAVEATS: the codes above are the BSA and BSAIS spellings and Open Item 7 must close before the allocation is final — it blocks item 74; and NSTP 1 is the prerequisite of NSTP 2, now with different writers, so Calma and Mequiabas must agree the pair.</t>
        </is>
      </c>
    </row>
    <row r="77" ht="23.75" customHeight="1" s="31">
      <c r="A77" s="17" t="inlineStr">
        <is>
          <t>Business Cluster Pool — lead: Chair Ranilo S. Castillo II</t>
        </is>
      </c>
      <c r="B77" s="3" t="inlineStr">
        <is>
          <t>SECOND BORROWING. LEAD: Programme Chair Ranilo S. Castillo II (named 9 Sep 2026). The shared business, economics and law courses are written once for BSA, BSAIS, BSBA and BSHM by BSBA's four full-time faculty. CANDIDATE COURSE LIST, 13 courses, read off the BSA and BSAIS prospectus on 13 Sep 2026 and NOT YET CONFIRMED — the lead's first task under item 75 is to check each one against the BSBA and BSHM prospectuses before writing starts. WRITER ALLOCATION, issued 13 Sep 2026 — description AND OBE syllabus for each course: Salas, Kristine Joy — AE1-BL1 Law on Obligations and Contracts, AE2-BL2 Business Laws and Regulations, AE3-BL3 Regulatory Framework and Legal Issues in Business. Aquino, Ann Jellie B. — AE11-ECO1 Managerial Economics, AE12-ECO2 Economic Development, AE5-IBT International Business and Trade. Bauat, Jhosalyn — CBME 1 Operations Management and TQM, CBME 2 Strategic Management, AE4-MGT1 Management Science, PE1-HBO Human Behavior in Organizations. Dela Cruz, Jacqueline — AE19-FINMGT Financial Management, AE18-FINMKT Financial Markets, AE10-GOV Governance, Business Ethics, Risk Management and Internal Control. Bauat takes the fourth course as the only pool writer on no third committee; Dela Cruz is held to three because she also sits on the Library Collection Committee. Internal hand-in to the lead: descriptions 9 Oct 2026, syllabi 16 Oct 2026. LOAD WARNING: these same four faculty also write the BSBA major courses under item 80, on 24 units each — after the Vice Dean this is the heaviest writing load in the college, and both allocations should be published together so each writer's total is visible.</t>
        </is>
      </c>
    </row>
    <row r="78" ht="46.25" customHeight="1" s="31">
      <c r="A78" s="17" t="inlineStr">
        <is>
          <t>Curriculum &amp; Syllabi Committee</t>
        </is>
      </c>
      <c r="B78" s="3" t="inlineStr">
        <is>
          <t>One per programme, chaired by that Programme Chair, made up of the department's full-time faculty. Covers whatever the two pools do not — the programme-specialised courses. Each Chair publishes a departmental WRITER ALLOCATION naming which faculty member writes which major course, due 25 Sep 2026 and tracked as items 76 (BSCRIM, Chair Pisto), 77 (BSHM, Chair Ciasico), 78 (BSCS, Chair Diamat), 79 (BEED and BSED, Chair K. Garcia — the six Teacher Education faculty not in the GE pool) and 80 (BSBA, Chair Castillo). Until those are published, the 15 faculty concerned hold a counted task with fixed hand-in dates on the Faculty sheet rather than named courses. BSA and BSAIS have no full-time members here: see Open Item 9. BSCS has one, which is why item 78 carries a capacity warning.</t>
        </is>
      </c>
    </row>
    <row r="79" ht="23.75" customHeight="1" s="31">
      <c r="A79" s="17" t="inlineStr">
        <is>
          <t>Library Collection Committee</t>
        </is>
      </c>
      <c r="B79"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80" ht="35" customHeight="1" s="31">
      <c r="A80" s="17" t="inlineStr">
        <is>
          <t>Feasibility &amp; Market Study Committee</t>
        </is>
      </c>
      <c r="B80" s="3" t="inlineStr">
        <is>
          <t>Chaired by MIS Head Francisco. Full-time faculty, one per department: Ablaya, Stephanie, Aquino, Ann Jellie B., Arimbuyutan, Jazzele M., Dela Cruz, Jonathan. Supports items 4, 5 and 6.</t>
        </is>
      </c>
    </row>
    <row r="81">
      <c r="A81" s="17" t="inlineStr">
        <is>
          <t>Records &amp; Documents</t>
        </is>
      </c>
      <c r="B81"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row r="83" ht="15" customHeight="1" s="31">
      <c r="A83" s="27" t="inlineStr">
        <is>
          <t>G. PROGRESS ROLL-UP (updates itself from the Tracker)</t>
        </is>
      </c>
      <c r="B83" s="29" t="n"/>
    </row>
    <row r="84" ht="15" customHeight="1" s="31">
      <c r="A84" s="18" t="inlineStr">
        <is>
          <t>Total requirements</t>
        </is>
      </c>
      <c r="B84" s="19">
        <f>COUNT(Tracker!$A$5:$A$99)</f>
        <v/>
      </c>
    </row>
    <row r="85" ht="15" customHeight="1" s="31">
      <c r="A85" s="18" t="inlineStr">
        <is>
          <t>Not started</t>
        </is>
      </c>
      <c r="B85" s="19">
        <f>COUNTIF(Tracker!$G$5:$G$99,"Not started")</f>
        <v/>
      </c>
    </row>
    <row r="86" ht="15" customHeight="1" s="31">
      <c r="A86" s="18" t="inlineStr">
        <is>
          <t>In progress</t>
        </is>
      </c>
      <c r="B86" s="19">
        <f>COUNTIF(Tracker!$G$5:$G$99,"In progress")</f>
        <v/>
      </c>
    </row>
    <row r="87" ht="15" customHeight="1" s="31">
      <c r="A87" s="18" t="inlineStr">
        <is>
          <t>For review</t>
        </is>
      </c>
      <c r="B87" s="19">
        <f>COUNTIF(Tracker!$G$5:$G$99,"For review")</f>
        <v/>
      </c>
    </row>
    <row r="88" ht="15" customHeight="1" s="31">
      <c r="A88" s="18" t="inlineStr">
        <is>
          <t>Done</t>
        </is>
      </c>
      <c r="B88" s="19">
        <f>COUNTIF(Tracker!$G$5:$G$99,"Done")</f>
        <v/>
      </c>
    </row>
    <row r="89" ht="15" customHeight="1" s="31">
      <c r="A89" s="18" t="inlineStr">
        <is>
          <t>Overall completion</t>
        </is>
      </c>
      <c r="B89" s="20">
        <f>IFERROR(AVERAGE(Tracker!$H$5:$H$99),0)</f>
        <v/>
      </c>
    </row>
    <row r="90" ht="15" customHeight="1" s="31">
      <c r="A90" s="18" t="inlineStr">
        <is>
          <t>Items overdue today</t>
        </is>
      </c>
      <c r="B90" s="19">
        <f>COUNTIFS(Tracker!$F$5:$F$99,"&lt;"&amp;TODAY(),Tracker!$G$5:$G$99,"&lt;&gt;Done")</f>
        <v/>
      </c>
    </row>
    <row r="91" ht="15" customHeight="1" s="31">
      <c r="A91" s="18" t="inlineStr">
        <is>
          <t>Items due within 7 days</t>
        </is>
      </c>
      <c r="B91" s="19">
        <f>COUNTIFS(Tracker!$F$5:$F$99,"&gt;="&amp;TODAY(),Tracker!$F$5:$F$99,"&lt;="&amp;TODAY()+7,Tracker!$G$5:$G$99,"&lt;&gt;Done")</f>
        <v/>
      </c>
    </row>
    <row r="92" ht="15" customHeight="1" s="31">
      <c r="A92" s="18" t="inlineStr">
        <is>
          <t>Faculty on the roster</t>
        </is>
      </c>
      <c r="B92" s="19">
        <f>COUNTA(Faculty!$B$5:$B$59)</f>
        <v/>
      </c>
    </row>
    <row r="93" ht="15" customHeight="1" s="31">
      <c r="A93" s="18" t="inlineStr">
        <is>
          <t>Full-time faculty tasked</t>
        </is>
      </c>
      <c r="B93" s="19">
        <f>COUNTIF(Faculty!$E$5:$E$59,"FT")</f>
        <v/>
      </c>
    </row>
    <row r="94" ht="15" customHeight="1" s="31">
      <c r="A94" s="18" t="inlineStr">
        <is>
          <t>Part-time faculty not tasked</t>
        </is>
      </c>
      <c r="B94" s="19">
        <f>COUNTIF(Faculty!$E$5:$E$59,"PT")</f>
        <v/>
      </c>
    </row>
    <row r="95">
      <c r="A95" s="18" t="inlineStr">
        <is>
          <t>Days to the 13 Nov 2026 filing target</t>
        </is>
      </c>
      <c r="B95" s="19">
        <f>DATE(2026,11,13)-TODAY()</f>
        <v/>
      </c>
    </row>
    <row r="96" ht="15" customHeight="1" s="31"/>
    <row r="97" ht="15" customHeight="1" s="31">
      <c r="A97" s="27" t="inlineStr">
        <is>
          <t>H. HOW TO USE THIS WORKBOOK</t>
        </is>
      </c>
      <c r="B97" s="29" t="n"/>
    </row>
    <row r="98" ht="23.75" customHeight="1" s="31">
      <c r="A98" s="17" t="inlineStr">
        <is>
          <t>Yellow cells</t>
        </is>
      </c>
      <c r="B98" s="3" t="inlineStr">
        <is>
          <t>On the Tracker, only the Status, % and Notes columns are yours to edit. Everything else is fixed so the roll-ups stay reliable.</t>
        </is>
      </c>
    </row>
    <row r="99" ht="23.75" customHeight="1" s="31">
      <c r="A99" s="17" t="inlineStr">
        <is>
          <t>Status</t>
        </is>
      </c>
      <c r="B99" s="3" t="inlineStr">
        <is>
          <t>Pick from the drop-down only: Not started, In progress, For review, Done. Anything else is rejected, because the counts above depend on these exact words.</t>
        </is>
      </c>
    </row>
    <row r="100" ht="23.75" customHeight="1" s="31">
      <c r="A100" s="17" t="inlineStr">
        <is>
          <t>Colours on the Tracker</t>
        </is>
      </c>
      <c r="B100" s="3" t="inlineStr">
        <is>
          <t>A row shaded orange is past its due date and not yet Done. A row shaded amber is due within seven days. Green in the Status column means Done.</t>
        </is>
      </c>
    </row>
    <row r="101" ht="23.75" customHeight="1" s="31">
      <c r="A101" s="17" t="inlineStr">
        <is>
          <t>Filtering</t>
        </is>
      </c>
      <c r="B101" s="3" t="inlineStr">
        <is>
          <t>Row 4 on the Tracker, Assignments and Faculty sheets has filters. A Program Chair can filter the Owner column to their own name and see only their items; a faculty member can find their own row on the Faculty sheet.</t>
        </is>
      </c>
    </row>
    <row r="102">
      <c r="A102" s="17" t="inlineStr">
        <is>
          <t>One owner per item</t>
        </is>
      </c>
      <c r="B102" s="3" t="inlineStr">
        <is>
          <t>Every one of the 88 items has exactly one accountable owner. Faculty and committees are support — they contribute the work, but the named owner answers for delivery. All five working bodies have a named lead: the eight Curriculum &amp; Syllabi Committees (each Programme Chair), the Library Collection Committee (Pastrana), the Feasibility &amp; Market Study Committee (Francisco) and the two college-wide pools (K. Garcia and Castillo). Since 13 September 2026 every full-time faculty member also carries a named specific task in the Specific task assigned column of the Faculty sheet — the 12 pool writers by course, the other 15 as a counted task pending their Chair's allocation under items 76 to 80.</t>
        </is>
      </c>
    </row>
    <row r="104">
      <c r="A104" s="27" t="inlineStr">
        <is>
          <t>I. CHED REGION III LETTER OF 7 OCTOBER 2026 (Office Tracking #10-0887)</t>
        </is>
      </c>
      <c r="B104" s="29" t="n"/>
    </row>
    <row r="105">
      <c r="A105" s="17" t="inlineStr">
        <is>
          <t>What it is</t>
        </is>
      </c>
      <c r="B105" s="3" t="inlineStr">
        <is>
          <t>Official reply of CHED Regional Office III to the Letter of Intent dated 25 Aug 2026 (received 1 Oct 2026). Signed by Director IV Maura Consolacion D. Cristobal, Ed.D., CESO III. Images: College-Wide Outputs/CHED RO III Letter 2026-10-07. Contact: Dr. Maria Teresa S. Salta, 0964-830-2194, chedro3@ched.gov.ph.</t>
        </is>
      </c>
    </row>
    <row r="106">
      <c r="A106" s="17" t="inlineStr">
        <is>
          <t>Six documents it asks for (soft copy to chedro3@ched.gov.ph)</t>
        </is>
      </c>
      <c r="B106" s="3" t="inlineStr">
        <is>
          <t>1 Board Resolution (item 81) · 2 Comparative curriculum matrices (items 82–83 and the other six programmes) · 3 Syllabi adjusted to the 14-week term (items 20, 26 and the other programmes) · 4 Academic Calendar (item 84) · 5 Resource Capability Inventory: faculty roster and load, room and laboratory schedules (items 85–87) · 6 Proof of stakeholder consultations if fees are restructured (item 88).</t>
        </is>
      </c>
    </row>
    <row r="107">
      <c r="A107" s="17" t="inlineStr">
        <is>
          <t>Issuances it cites (texts NOT yet read)</t>
        </is>
      </c>
      <c r="B107" s="3" t="inlineStr">
        <is>
          <t>CMO 1 s.2011 (school calendar) · CMO 40 s.2008 (Manual of Regulations, Private HEIs) · each programme’s PSG · CMO 3 s.2012 (tuition and other school fees).</t>
        </is>
      </c>
    </row>
    <row r="108">
      <c r="A108" s="17" t="inlineStr">
        <is>
          <t>Contact-hour standard it states</t>
        </is>
      </c>
      <c r="B108" s="3" t="inlineStr">
        <is>
          <t>At least 17–18 contact hours per lecture unit across the planned 14-week term. 56 hours per 3-unit subject is 18.67 per unit. Counting only the 12 teaching weeks it is 16.0. Laboratory units need a stated convention.</t>
        </is>
      </c>
    </row>
    <row r="109">
      <c r="A109" s="17" t="inlineStr">
        <is>
          <t>Effect on open items</t>
        </is>
      </c>
      <c r="B109" s="3" t="inlineStr">
        <is>
          <t>Item 73 question 2 answered. Open Item 4 partly answered (soft copy by email; no binders mentioned). Open Item 5 reads as every course. Open Item 2 still needs CHED to confirm that the six documents are the whole list.</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K65"/>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82"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Specific task assigned</t>
        </is>
      </c>
      <c r="J4" s="1" t="inlineStr">
        <is>
          <t>Tracker items supporting</t>
        </is>
      </c>
      <c r="K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3" t="inlineStr">
        <is>
          <t>PROGRAM CHAIR (BSA and BSAIS) and VICE DEAN — owns tracker items 2, 3, 15 to 26, 71 and 72. Sole full-time author of the roughly 41 programme-specialised accountancy and AIS course descriptions and syllabi (Open Item 9); the 20 general education courses and the 13 shared business courses are lifted off this load by the two college-wide pools. Also runs the compliance audit of all eight programmes' curriculum submissions. Descriptions 9 Oct 2026, syllabi 16 Oct 2026. Records obligation on top, compulsory for all faculty: certified true copy of Transcript of Records and signed contract to HR by 30 Oct 2026 (items 12–13).  PROPOSED FIRST YEAR TRIMESTER LOADING — teaches AE11-ECO1 Managerial Economics (T1), AE15-IA1 Intermediate Accounting 1 (T2), AE22-CAC Cost Accounting and Control (T3). Writes the course description and the outcomes-based syllabus for each of those courses, for review by the Program Chair.</t>
        </is>
      </c>
      <c r="J5" s="21" t="inlineStr">
        <is>
          <t>#19–20, 25–26</t>
        </is>
      </c>
      <c r="K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6" s="23" t="inlineStr">
        <is>
          <t>—</t>
        </is>
      </c>
      <c r="K6" s="12" t="inlineStr">
        <is>
          <t>Part-time. Not named in the First Year trimester loading — task him when the Second and Third Year loadings are drawn.</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Curriculum &amp; Syllabi — BSA/BSAIS professional courses</t>
        </is>
      </c>
      <c r="I7" s="3" t="inlineStr">
        <is>
          <t>PROPOSED FIRST YEAR TRIMESTER LOADING — teaches AE19-FINMGT Financial Management (T3). Writes the course description and the outcomes-based syllabus for each of those courses, for review by the Program Chair.</t>
        </is>
      </c>
      <c r="J7" s="23" t="inlineStr">
        <is>
          <t>#19–20, 25–26</t>
        </is>
      </c>
      <c r="K7" s="12" t="inlineStr">
        <is>
          <t>Part-time, but named in the Proposed Faculty Loading, so tasked with the courses that loading gives them.</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Curriculum &amp; Syllabi — BSA/BSAIS professional courses</t>
        </is>
      </c>
      <c r="I8" s="3" t="inlineStr">
        <is>
          <t>PROPOSED FIRST YEAR TRIMESTER LOADING — teaches CBME 1 Operations Management and TQM (T1), AE1-BL1 Law on Obligations and Contracts (T3). Writes the course description and the outcomes-based syllabus for each of those courses, for review by the Program Chair.</t>
        </is>
      </c>
      <c r="J8" s="23" t="inlineStr">
        <is>
          <t>#19–20, 25–26</t>
        </is>
      </c>
      <c r="K8" s="12" t="inlineStr">
        <is>
          <t>Part-time, but named in the Proposed Faculty Loading, so tasked with the courses that loading gives them.</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Curriculum &amp; Syllabi — BSA/BSAIS professional courses</t>
        </is>
      </c>
      <c r="I9" s="3" t="inlineStr">
        <is>
          <t>PROPOSED FIRST YEAR TRIMESTER LOADING — teaches AE13-FAR Financial Accounting and Reporting (T1), AE14-CFAS Conceptual Framework and Accounting Standards (T2). Writes the course description and the outcomes-based syllabus for each of those courses, for review by the Program Chair.</t>
        </is>
      </c>
      <c r="J9" s="23" t="inlineStr">
        <is>
          <t>#19–20, 25–26</t>
        </is>
      </c>
      <c r="K9" s="12" t="inlineStr">
        <is>
          <t>Part-time, but named in the Proposed Faculty Loading, so tasked with the courses that loading gives them.</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Curriculum &amp; Syllabi — BSA/BSAIS professional courses</t>
        </is>
      </c>
      <c r="I10" s="3" t="inlineStr">
        <is>
          <t>PROPOSED FIRST YEAR TRIMESTER LOADING — teaches AE4-MGT1 Management Science (T3). Writes the course description and the outcomes-based syllabus for each of those courses, for review by the Program Chair.</t>
        </is>
      </c>
      <c r="J10" s="23" t="inlineStr">
        <is>
          <t>#19–20, 25–26</t>
        </is>
      </c>
      <c r="K10" s="12" t="inlineStr">
        <is>
          <t>Part-time, but named in the Proposed Faculty Loading, so tasked with the courses that loading gives them.</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3" t="inlineStr">
        <is>
          <t>BUSINESS CLUSTER POOL (tracker item 75) — write the COURSE DESCRIPTION and the OBE SYLLABUS for 3 allocated courses, one set serving BSA, BSAIS, BSBA and BSHM: AE11-ECO1 Managerial Economics; AE12-ECO2 Economic Development; AE5-IBT International Business and Trade.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Also sits on the Feasibility &amp; Market Study Committee (items 4 to 6). Records obligation on top, compulsory for all faculty: certified true copy of Transcript of Records and signed contract to HR by 30 Oct 2026 (items 12–13).</t>
        </is>
      </c>
      <c r="J11" s="21" t="inlineStr">
        <is>
          <t>#4–6, 19–20, 25–26, 31–32, 43–44</t>
        </is>
      </c>
      <c r="K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3" t="inlineStr">
        <is>
          <t>BUSINESS CLUSTER POOL (tracker item 75) — write the COURSE DESCRIPTION and the OBE SYLLABUS for 4 allocated courses, one set serving BSA, BSAIS, BSBA and BSHM: CBME 1 Operations Management and TQM; CBME 2 Strategic Management; AE4-MGT1 Management Science; PE1-HBO Human Behavior in Organizations. 8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Takes the fourth course because she is the only pool writer on no third committee. Records obligation on top, compulsory for all faculty: certified true copy of Transcript of Records and signed contract to HR by 30 Oct 2026 (items 12–13).</t>
        </is>
      </c>
      <c r="J12" s="21" t="inlineStr">
        <is>
          <t>#19–20, 25–26, 31–32, 43–44</t>
        </is>
      </c>
      <c r="K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3" t="inlineStr">
        <is>
          <t>PROGRAM CHAIR (BSBA) and LEAD of the Business Cluster Pool — owns items 27 to 32, 75 and 80. As pool lead: fix the definitive shared-course list (confirm the 13 candidate courses against the BSBA and BSHM prospectuses), publish the writer allocation, issue the common template carrying the assessment scheme and the 14-week / 56-hour basis, set internal hand-in dates ahead of 9 Oct and 16 Oct, hand one finished set to the Chairs of BSA, BSAIS and BSHM, and report slippage to the Vice Dean. Publish the item 80 BSBA specialised allocation at the same time so each writer's total is visible. Records obligation on top, compulsory for all faculty: certified true copy of Transcript of Records and signed contract to HR by 30 Oct 2026 (items 12–13).</t>
        </is>
      </c>
      <c r="J13" s="21" t="inlineStr">
        <is>
          <t>#31–32</t>
        </is>
      </c>
      <c r="K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3" t="inlineStr">
        <is>
          <t>BUSINESS CLUSTER POOL (tracker item 75) — write the COURSE DESCRIPTION and the OBE SYLLABUS for 3 allocated courses, one set serving BSA, BSAIS, BSBA and BSHM: AE19-FINMGT Financial Management; AE18-FINMKT Financial Markets; AE10-GOV Governance, Business Ethics, Risk Management and Internal Control.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Held to three courses because she also sits on the Library Collection Committee (items 66 and 67). Records obligation on top, compulsory for all faculty: certified true copy of Transcript of Records and signed contract to HR by 30 Oct 2026 (items 12–13).</t>
        </is>
      </c>
      <c r="J14" s="21" t="inlineStr">
        <is>
          <t>#19–20, 25–26, 31–32, 43–44, 66–67</t>
        </is>
      </c>
      <c r="K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3" t="inlineStr">
        <is>
          <t>BUSINESS CLUSTER POOL (tracker item 75) — write the COURSE DESCRIPTION and the OBE SYLLABUS for 3 allocated courses, one set serving BSA, BSAIS, BSBA and BSHM: AE1-BL1 Law on Obligations and Contracts; AE2-BL2 Business Laws and Regulations; AE3-BL3 Regulatory Framework and Legal Issues in Business.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Records obligation on top, compulsory for all faculty: certified true copy of Transcript of Records and signed contract to HR by 30 Oct 2026 (items 12–13).</t>
        </is>
      </c>
      <c r="J15" s="21" t="inlineStr">
        <is>
          <t>#19–20, 25–26, 31–32, 43–44</t>
        </is>
      </c>
      <c r="K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6" s="23" t="inlineStr">
        <is>
          <t>—</t>
        </is>
      </c>
      <c r="K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sits on the Feasibility &amp; Market Study Committee (items 4 to 6). Records obligation on top, compulsory for all faculty: certified true copy of Transcript of Records and signed contract to HR by 30 Oct 2026 (items 12–13).</t>
        </is>
      </c>
      <c r="J17" s="21" t="inlineStr">
        <is>
          <t>#4–6, 49–50</t>
        </is>
      </c>
      <c r="K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8" s="21" t="inlineStr">
        <is>
          <t>#49–50</t>
        </is>
      </c>
      <c r="K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9" s="21" t="inlineStr">
        <is>
          <t>#49–50</t>
        </is>
      </c>
      <c r="K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20" s="21" t="inlineStr">
        <is>
          <t>#49–50</t>
        </is>
      </c>
      <c r="K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3" t="inlineStr">
        <is>
          <t>PROGRAM CHAIR (BSCRIM) — owns items 45 to 50 and 76. Publish the BSCRIM writer allocation by 25 Sep 2026 naming which of your five full-time faculty writes which major course, then collect descriptions 9 Oct and syllabi 16 Oct. Outstanding defect on item 45: the two 25-unit trimesters put students at 8.33 contact hours a day and need re-sequencing. Records obligation on top, compulsory for all faculty: certified true copy of Transcript of Records and signed contract to HR by 30 Oct 2026 (items 12–13).</t>
        </is>
      </c>
      <c r="J21" s="21" t="inlineStr">
        <is>
          <t>#49–50</t>
        </is>
      </c>
      <c r="K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on the Library Collection Committee — supply BSCRIM subject title lists and accession data for items 66 and 67. Records obligation on top, compulsory for all faculty: certified true copy of Transcript of Records and signed contract to HR by 30 Oct 2026 (items 12–13).  PROPOSED FIRST YEAR TRIMESTER LOADING — teaches NSTP 1 (T1) and NSTP 2 (T2), Civic Welfare Training Service. Writes the course description and the outcomes-based syllabus for each of those courses, for review by the Program Chair.</t>
        </is>
      </c>
      <c r="J22" s="21" t="inlineStr">
        <is>
          <t>#49–50, 66–67, #19–20, 25–26</t>
        </is>
      </c>
      <c r="K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3" s="23" t="inlineStr">
        <is>
          <t>—</t>
        </is>
      </c>
      <c r="K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3" t="inlineStr">
        <is>
          <t>PROGRAMME-SPECIALISED COURSES — BSCS. Write the COURSE DESCRIPTION and the OBE SYLLABUS for the BSCS major courses allocated to you by Chair Diamat. The allocation naming your specific courses is tracked as item 78, due 25 Sep 2026. Common syllabus template: 14-week trimester, 56 hours per 3-unit course, two examinations (midterm and final) plus one required monthly assessment and regular quizzes. Hand in to your Chair: descriptions 9 Oct 2026, syllabi 16 Oct 2026. Feeds tracker items 37 and 38. CAPACITY: you are the only full-time BSCS faculty besides the Chair, so item 78 must state which courses fall to the Chair himself. Also confirm your department is corrected to BS Computer Science on the roster main sheet before filing. Records obligation on top, compulsory for all faculty: certified true copy of Transcript of Records and signed contract to HR by 30 Oct 2026 (items 12–13).</t>
        </is>
      </c>
      <c r="J24" s="25" t="inlineStr">
        <is>
          <t>#37–38</t>
        </is>
      </c>
      <c r="K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3" t="inlineStr">
        <is>
          <t>PROGRAM CHAIR (BSCS) — owns items 33 to 38 and 78. Publish the BSCS writer allocation by 25 Sep 2026. With only one full-time writer besides yourself, that allocation must say plainly which courses you take and where outside help is needed — the same shape of problem as Open Item 9. Records obligation on top, compulsory for all faculty: certified true copy of Transcript of Records and signed contract to HR by 30 Oct 2026 (items 12–13).</t>
        </is>
      </c>
      <c r="J25" s="21" t="inlineStr">
        <is>
          <t>#37–38</t>
        </is>
      </c>
      <c r="K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6" s="23" t="inlineStr">
        <is>
          <t>—</t>
        </is>
      </c>
      <c r="K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7" s="23" t="inlineStr">
        <is>
          <t>—</t>
        </is>
      </c>
      <c r="K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3" t="inlineStr">
        <is>
          <t>MIS HEAD and TASK FORCE CO-LEAD — owns items 1, 4, 5, 6, 70 and 73. Item 73 is the single written request to CHED Region III covering Open Items 2 to 5, due 25 Sep 2026; Open Item 5 (are syllabi needed for every course or only new and re-sequenced ones) governs the whole 16 Oct syllabus deadline. Not allocated course-writing — part-time teaching load. Submit your certified true copy of transcript of records and your signed appointment / contract / letter of commitment to hr officer dela cruz by 30 oct 2026 — checklist items 5.2 and 5.3, tracker items 12 and 13.</t>
        </is>
      </c>
      <c r="J28" s="23" t="inlineStr">
        <is>
          <t>—</t>
        </is>
      </c>
      <c r="K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9" s="23" t="inlineStr">
        <is>
          <t>—</t>
        </is>
      </c>
      <c r="K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0" s="23" t="inlineStr">
        <is>
          <t>—</t>
        </is>
      </c>
      <c r="K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a named member of the library team — owns the working papers behind items 66 to 69 with Sta. Cruz, on top of a 21-unit teaching load. Weight your course share accordingly with the Chair. Records obligation on top, compulsory for all faculty: certified true copy of Transcript of Records and signed contract to HR by 30 Oct 2026 (items 12–13).</t>
        </is>
      </c>
      <c r="J31" s="21" t="inlineStr">
        <is>
          <t>#43–44, 66–69</t>
        </is>
      </c>
      <c r="K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3" t="inlineStr">
        <is>
          <t>PROGRAM CHAIR (BSHM) — owns items 39 to 44 and 77. Publish the BSHM writer allocation by 25 Sep 2026. Only hospitality-specialised courses need allocating: the shared business courses come from the Business Cluster Pool under item 75. Bernardo carries library items 66 to 69 as well — weight his share. Records obligation on top, compulsory for all faculty: certified true copy of Transcript of Records and signed contract to HR by 30 Oct 2026 (items 12–13).</t>
        </is>
      </c>
      <c r="J32" s="21" t="inlineStr">
        <is>
          <t>#43–44</t>
        </is>
      </c>
      <c r="K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sits on the Feasibility &amp; Market Study Committee (items 4 to 6). Records obligation on top, compulsory for all faculty: certified true copy of Transcript of Records and signed contract to HR by 30 Oct 2026 (items 12–13).</t>
        </is>
      </c>
      <c r="J33" s="21" t="inlineStr">
        <is>
          <t>#4–6, 43–44</t>
        </is>
      </c>
      <c r="K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Carries the courses of Franco, Nadine Denise, who resigned — make sure the roster HR locks on 23 Oct 2026 shows you, not her. Records obligation on top, compulsory for all faculty: certified true copy of Transcript of Records and signed contract to HR by 30 Oct 2026 (items 12–13).</t>
        </is>
      </c>
      <c r="J34" s="21" t="inlineStr">
        <is>
          <t>#43–44</t>
        </is>
      </c>
      <c r="K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5" s="23" t="inlineStr">
        <is>
          <t>—</t>
        </is>
      </c>
      <c r="K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6" s="23" t="inlineStr">
        <is>
          <t>—</t>
        </is>
      </c>
      <c r="K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7" s="23" t="inlineStr">
        <is>
          <t>—</t>
        </is>
      </c>
      <c r="K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8" s="23" t="inlineStr">
        <is>
          <t>—</t>
        </is>
      </c>
      <c r="K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9" s="23" t="inlineStr">
        <is>
          <t>—</t>
        </is>
      </c>
      <c r="K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sits on the Feasibility &amp; Market Study Committee (items 4 to 6). Records obligation on top, compulsory for all faculty: certified true copy of Transcript of Records and signed contract to HR by 30 Oct 2026 (items 12–13).</t>
        </is>
      </c>
      <c r="J40" s="21" t="inlineStr">
        <is>
          <t>#4–6, 55–56, 61–62</t>
        </is>
      </c>
      <c r="K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t>
        </is>
      </c>
      <c r="I41"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MOVED OUT OF THE GENERAL EDUCATION SYLLABI POOL on 13 Sep 2026 by direction of the Vice Dean, so that this major-course load is not carried on top of the college-wide general education work — you hold the heaviest prep count in the department at 7. Records obligation on top, compulsory for all faculty: certified true copy of Transcript of Records and signed contract to HR by 30 Oct 2026 (items 12–13).</t>
        </is>
      </c>
      <c r="J41" s="21" t="inlineStr">
        <is>
          <t>#55–56, 61–62, 79</t>
        </is>
      </c>
      <c r="K41" s="3" t="inlineStr">
        <is>
          <t>Moved out of the General Education Syllabi Pool 13 Sep 2026 by direction of the Vice Dean — she writes BEED/BSED major courses instead. The pool now has 7 writers.</t>
        </is>
      </c>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2" s="21" t="inlineStr">
        <is>
          <t>#55–56, 61–62</t>
        </is>
      </c>
      <c r="K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3" t="inlineStr">
        <is>
          <t>GENERAL EDUCATION SYLLABI POOL (tracker item 74) — write the COURSE DESCRIPTION and the OBE SYLLABUS for 3 allocated courses, one set serving all 8 programmes: PATH-FIT 1 Movement Competency Training; PATH-FIT 2 Exercise-Based Fitness Activities; NSTP 1 Civic Welfare Training Service 1.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  PROPOSED FIRST YEAR TRIMESTER LOADING — teaches PATH-FIT 1 Movement Competency Training (T1). Writes the course description and the outcomes-based syllabus for each of those courses, for review by the Program Chair.</t>
        </is>
      </c>
      <c r="J43" s="21" t="inlineStr">
        <is>
          <t>#19–20, 25–26, 31–32, 37–38, 43–44, 49–50, 55–56, 61–62</t>
        </is>
      </c>
      <c r="K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4" s="21" t="inlineStr">
        <is>
          <t>#55–56, 61–62</t>
        </is>
      </c>
      <c r="K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3" t="inlineStr">
        <is>
          <t>COLLEGE DEAN and TASK FORCE CO-LEAD — support role, not allocated course-writing. Reviews and signs every programme's curriculum in the sign-off chain (prepared by the Chair, reviewed by the Dean, approved by the VPAA) and gives the executive endorsement of the completed dossier, item 71, by 10 Nov 2026. Records obligation on top, compulsory for all faculty: certified true copy of Transcript of Records and signed contract to HR by 30 Oct 2026 (items 12–13).</t>
        </is>
      </c>
      <c r="J45" s="21" t="inlineStr">
        <is>
          <t>#55–56, 61–62</t>
        </is>
      </c>
      <c r="K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3" t="inlineStr">
        <is>
          <t>PROGRAM CHAIR (BEED and BSED) and LEAD of the General Education Syllabi Pool — owns items 51 to 62, 74 and 79. As pool lead: allocate the 20 general education, PATH-FIT, NSTP and CLE courses across the eight writers (allocation below), issue one common syllabus template carrying the assessment scheme and the 14-week / 56-hour basis, set internal hand-in dates ahead of 9 Oct and 16 Oct, hand one finished set to all eight Chairs, and report slippage to the Vice Dean. BLOCKED BY OPEN ITEM 7 — you cannot allocate courses whose codes, units and hour splits are not yet harmonised across the eight programmes; raise that first. Publish item 79 separately: the six Teacher Education faculty NOT in the pool write the BEED and BSED major courses. Records obligation on top, compulsory for all faculty: certified true copy of Transcript of Records and signed contract to HR by 30 Oct 2026 (items 12–13).</t>
        </is>
      </c>
      <c r="J46" s="21" t="inlineStr">
        <is>
          <t>#55–56, 61–62</t>
        </is>
      </c>
      <c r="K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 General Education Syllabi Pool</t>
        </is>
      </c>
      <c r="I47"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  PROPOSED FIRST YEAR TRIMESTER LOADING — teaches MAT-GEC Mathematics in the Modern World and HIS-GEC Readings in Philippine History (T1). Writes the course description and the outcomes-based syllabus for each of those courses, for review by the Program Chair.  GENERAL EDUCATION SYLLABI POOL (tracker item 74) — writes the course description and the OBE syllabus for HIS-GEC Readings in Philippine History, reallocated from D. Maglalang on her resignation, 26 Oct 2026.</t>
        </is>
      </c>
      <c r="J47" s="21" t="inlineStr">
        <is>
          <t>#55–56, 61–62, #19–20, 25–26, 74</t>
        </is>
      </c>
      <c r="K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3" t="inlineStr">
        <is>
          <t>GENERAL EDUCATION SYLLABI POOL (tracker item 74) — write the COURSE DESCRIPTION and the OBE SYLLABUS for 3 allocated courses, one set serving all 8 programmes: REL-GEC Religion, Religious Experience and Spirituality; CLE 1 Church and Salvation History; STS-GEC Science, Technology and Society.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  PROPOSED FIRST YEAR TRIMESTER LOADING — teaches REL-GEC Religion, Religious Experience and Spirituality (T2), CLE 1 Church and Salvation History (T3) — CLE 1 reassigned from D. Maglalang, resigned. Writes the course description and the outcomes-based syllabus for each of those courses, for review by the Program Chair.  Also takes CLE 2 in the GE pool, reallocated from D. Maglalang, 26 Oct 2026.</t>
        </is>
      </c>
      <c r="J48" s="21" t="inlineStr">
        <is>
          <t>#19–20, 25–26, 31–32, 37–38, 43–44, 49–50, 55–56, 61–62</t>
        </is>
      </c>
      <c r="K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3" t="inlineStr">
        <is>
          <t>GENERAL EDUCATION SYLLABI POOL (tracker item 74) — write the COURSE DESCRIPTION and the OBE SYLLABUS for 2 allocated courses, one set serving all 8 programmes: CON-GEC The Contemporary World; ITE-GEC Living in the I.T. Era.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  PROPOSED FIRST YEAR TRIMESTER LOADING — teaches RIZ-GEC The Life and Works of Rizal (T3). Writes the course description and the outcomes-based syllabus for each of those courses, for review by the Program Chair.  Also takes RIZ-GEC in the GE pool, reallocated from D. Maglalang, 26 Oct 2026.</t>
        </is>
      </c>
      <c r="J49" s="21" t="inlineStr">
        <is>
          <t>#19–20, 25–26, 31–32, 37–38, 43–44, 49–50, 55–56, 61–62</t>
        </is>
      </c>
      <c r="K49" s="3" t="n"/>
    </row>
    <row r="50" ht="23.75" customHeight="1" s="31">
      <c r="A50" s="2" t="n">
        <v>46</v>
      </c>
      <c r="B50" s="3" t="inlineStr">
        <is>
          <t>Manuel, Consuelo V.</t>
        </is>
      </c>
      <c r="C50" s="21" t="inlineStr">
        <is>
          <t>Dr.</t>
        </is>
      </c>
      <c r="D50" s="3" t="inlineStr">
        <is>
          <t>Teacher Education (BEED / BSEDE / BSEDM / TEP)</t>
        </is>
      </c>
      <c r="E50" s="2" t="inlineStr">
        <is>
          <t>FT</t>
        </is>
      </c>
      <c r="F50" s="2" t="n">
        <v>24</v>
      </c>
      <c r="G50" s="2" t="n">
        <v>4</v>
      </c>
      <c r="H50" s="3" t="inlineStr">
        <is>
          <t>Curriculum &amp; Syllabi — BEED/BSED; General Education Syllabi Pool (college-wide)</t>
        </is>
      </c>
      <c r="I50" s="3" t="inlineStr">
        <is>
          <t>GENERAL EDUCATION SYLLABI POOL (tracker item 74) — write the COURSE DESCRIPTION and the OBE SYLLABUS for 3 allocated courses, one set serving all 8 programmes: ETH-GEC Ethics; MAT-GEC Mathematics in the Modern World; BL-GEC Business Logic.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0" s="21" t="inlineStr">
        <is>
          <t>#19–20, 25–26, 31–32, 37–38, 43–44, 49–50, 55–56, 61–62</t>
        </is>
      </c>
      <c r="K50" s="3" t="n"/>
    </row>
    <row r="51" ht="23.75" customHeight="1" s="31">
      <c r="A51" s="2" t="n">
        <v>47</v>
      </c>
      <c r="B51" s="3" t="inlineStr">
        <is>
          <t>Mequiabas, Meah</t>
        </is>
      </c>
      <c r="C51" s="21" t="n"/>
      <c r="D51" s="3" t="inlineStr">
        <is>
          <t>Teacher Education (BEED / BSEDE / BSEDM / TEP)</t>
        </is>
      </c>
      <c r="E51" s="2" t="inlineStr">
        <is>
          <t>FT</t>
        </is>
      </c>
      <c r="F51" s="2" t="n">
        <v>26</v>
      </c>
      <c r="G51" s="2" t="n">
        <v>4</v>
      </c>
      <c r="H51" s="3" t="inlineStr">
        <is>
          <t>Curriculum &amp; Syllabi — BEED/BSED; General Education Syllabi Pool (college-wide)</t>
        </is>
      </c>
      <c r="I51" s="3" t="inlineStr">
        <is>
          <t>GENERAL EDUCATION SYLLABI POOL (tracker item 74) — write the COURSE DESCRIPTION and the OBE SYLLABUS for 3 allocated courses, one set serving all 8 programmes: PATH-FIT 3 Dance; PATH-FIT 4 Sports; NSTP 2 Civic Welfare Training Service 2.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  PROPOSED FIRST YEAR TRIMESTER LOADING — teaches ART-GEC Art Appreciation and PATH-FIT 2 (T2), PATH-FIT 3 Dance (T3). Writes the course description and the outcomes-based syllabus for each of those courses, for review by the Program Chair.</t>
        </is>
      </c>
      <c r="J51" s="21" t="inlineStr">
        <is>
          <t>#19–20, 25–26, 31–32, 37–38, 43–44, 49–50, 55–56, 61–62</t>
        </is>
      </c>
      <c r="K51" s="3" t="n"/>
    </row>
    <row r="52" ht="23.75" customHeight="1" s="31">
      <c r="A52" s="2" t="n">
        <v>48</v>
      </c>
      <c r="B52" s="3" t="inlineStr">
        <is>
          <t>Sta. Cruz, Ma. Patricia</t>
        </is>
      </c>
      <c r="C52" s="21" t="n"/>
      <c r="D52" s="3" t="inlineStr">
        <is>
          <t>Teacher Education (BEED / BSEDE / BSEDM / TEP)</t>
        </is>
      </c>
      <c r="E52" s="2" t="inlineStr">
        <is>
          <t>FT</t>
        </is>
      </c>
      <c r="F52" s="2" t="n">
        <v>27</v>
      </c>
      <c r="G52" s="2" t="n">
        <v>3</v>
      </c>
      <c r="H52" s="3" t="inlineStr">
        <is>
          <t>Curriculum &amp; Syllabi — BEED/BSED; Library Collection</t>
        </is>
      </c>
      <c r="I5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a named member of the library team — owns the working papers behind items 66 to 69 with Bernardo, on top of a 27-unit teaching load. Weight your course share accordingly with the Chair. Records obligation on top, compulsory for all faculty: certified true copy of Transcript of Records and signed contract to HR by 30 Oct 2026 (items 12–13).</t>
        </is>
      </c>
      <c r="J52" s="21" t="inlineStr">
        <is>
          <t>#55–56, 61–62, 66–69</t>
        </is>
      </c>
      <c r="K52" s="3" t="inlineStr">
        <is>
          <t>Also a member of the library team named in the project plan — library duty on top of a full teaching load.</t>
        </is>
      </c>
    </row>
    <row r="53" ht="35" customHeight="1" s="31">
      <c r="A53" s="2" t="n">
        <v>49</v>
      </c>
      <c r="B53" s="3" t="inlineStr">
        <is>
          <t>Tolosa, Nenita</t>
        </is>
      </c>
      <c r="C53" s="21" t="n"/>
      <c r="D53" s="3" t="inlineStr">
        <is>
          <t>Teacher Education (BEED / BSEDE / BSEDM / TEP)</t>
        </is>
      </c>
      <c r="E53" s="2" t="inlineStr">
        <is>
          <t>FT</t>
        </is>
      </c>
      <c r="F53" s="2" t="n">
        <v>24</v>
      </c>
      <c r="G53" s="2" t="n">
        <v>5</v>
      </c>
      <c r="H53" s="3" t="inlineStr">
        <is>
          <t>Curriculum &amp; Syllabi — BEED/BSED; General Education Syllabi Pool (college-wide)</t>
        </is>
      </c>
      <c r="I53" s="3" t="inlineStr">
        <is>
          <t>GENERAL EDUCATION SYLLABI POOL (tracker item 74) — write the COURSE DESCRIPTION and the OBE SYLLABUS for 3 allocated courses, one set serving all 8 programmes: ART-GEC Art Appreciation; COM-GEC Purposive Communication; US-GEC Understanding the Self.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  PROPOSED FIRST YEAR TRIMESTER LOADING — teaches US-GEC Understanding the Self (T1). Writes the course description and the outcomes-based syllabus for each of those courses, for review by the Program Chair.</t>
        </is>
      </c>
      <c r="J53" s="21" t="inlineStr">
        <is>
          <t>#19–20, 25–26, 31–32, 37–38, 43–44, 49–50, 55–56, 61–62</t>
        </is>
      </c>
      <c r="K53" s="3" t="n"/>
    </row>
    <row r="54" ht="23.75" customHeight="1" s="31">
      <c r="A54" s="2" t="n">
        <v>50</v>
      </c>
      <c r="B54" s="3" t="inlineStr">
        <is>
          <t>Villamayor, Xyrelle</t>
        </is>
      </c>
      <c r="C54" s="21" t="n"/>
      <c r="D54" s="3" t="inlineStr">
        <is>
          <t>Teacher Education (BEED / BSEDE / BSEDM / TEP)</t>
        </is>
      </c>
      <c r="E54" s="2" t="inlineStr">
        <is>
          <t>FT</t>
        </is>
      </c>
      <c r="F54" s="2" t="n">
        <v>27</v>
      </c>
      <c r="G54" s="2" t="n">
        <v>6</v>
      </c>
      <c r="H54" s="3" t="inlineStr">
        <is>
          <t>Curriculum &amp; Syllabi — BEED/BSED</t>
        </is>
      </c>
      <c r="I5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  PROPOSED FIRST YEAR TRIMESTER LOADING — teaches COM-GEC Purposive Communication (T2), CON-GEC The Contemporary World (T3). Writes the course description and the outcomes-based syllabus for each of those courses, for review by the Program Chair.</t>
        </is>
      </c>
      <c r="J54" s="21" t="inlineStr">
        <is>
          <t>#55–56, 61–62, #19–20, 25–26</t>
        </is>
      </c>
      <c r="K54" s="3" t="n"/>
    </row>
    <row r="55" ht="23.75" customHeight="1" s="31">
      <c r="A55" s="22" t="n">
        <v>51</v>
      </c>
      <c r="B55" s="12" t="inlineStr">
        <is>
          <t>Adiova, Marites</t>
        </is>
      </c>
      <c r="C55" s="23" t="n"/>
      <c r="D55" s="12" t="inlineStr">
        <is>
          <t>Teacher Education (BEED / BSEDE / BSEDM / TEP)</t>
        </is>
      </c>
      <c r="E55" s="22" t="inlineStr">
        <is>
          <t>PT</t>
        </is>
      </c>
      <c r="F55" s="22" t="n">
        <v>3</v>
      </c>
      <c r="G55" s="22" t="n">
        <v>1</v>
      </c>
      <c r="H55" s="12" t="inlineStr">
        <is>
          <t>Not tasked — part-time</t>
        </is>
      </c>
      <c r="I5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5" s="23" t="inlineStr">
        <is>
          <t>—</t>
        </is>
      </c>
      <c r="K55" s="12" t="inlineStr">
        <is>
          <t>Part-time — not tasked.</t>
        </is>
      </c>
    </row>
    <row r="56" ht="23.75" customHeight="1" s="31">
      <c r="A56" s="22" t="n">
        <v>52</v>
      </c>
      <c r="B56" s="12" t="inlineStr">
        <is>
          <t>Cabrera, Francis</t>
        </is>
      </c>
      <c r="C56" s="23" t="n"/>
      <c r="D56" s="12" t="inlineStr">
        <is>
          <t>Teacher Education (BEED / BSEDE / BSEDM / TEP)</t>
        </is>
      </c>
      <c r="E56" s="22" t="inlineStr">
        <is>
          <t>PT</t>
        </is>
      </c>
      <c r="F56" s="22" t="n">
        <v>3</v>
      </c>
      <c r="G56" s="22" t="n">
        <v>1</v>
      </c>
      <c r="H56" s="12" t="inlineStr">
        <is>
          <t>Not tasked — part-time</t>
        </is>
      </c>
      <c r="I5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6" s="23" t="inlineStr">
        <is>
          <t>—</t>
        </is>
      </c>
      <c r="K56" s="12" t="inlineStr">
        <is>
          <t>Part-time — not tasked.</t>
        </is>
      </c>
    </row>
    <row r="57" ht="23.75" customHeight="1" s="31">
      <c r="A57" s="22" t="n">
        <v>53</v>
      </c>
      <c r="B57" s="12" t="inlineStr">
        <is>
          <t>Gomez, Donna Michelle A.</t>
        </is>
      </c>
      <c r="C57" s="23" t="n"/>
      <c r="D57" s="12" t="inlineStr">
        <is>
          <t>Teacher Education (BEED / BSEDE / BSEDM / TEP)</t>
        </is>
      </c>
      <c r="E57" s="22" t="inlineStr">
        <is>
          <t>PT</t>
        </is>
      </c>
      <c r="F57" s="22" t="n">
        <v>12</v>
      </c>
      <c r="G57" s="22" t="n">
        <v>1</v>
      </c>
      <c r="H57" s="12" t="inlineStr">
        <is>
          <t>Not tasked — part-time</t>
        </is>
      </c>
      <c r="I5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7" s="23" t="inlineStr">
        <is>
          <t>—</t>
        </is>
      </c>
      <c r="K57" s="12" t="inlineStr">
        <is>
          <t>Part-time — not tasked.</t>
        </is>
      </c>
    </row>
    <row r="58" ht="23.75" customHeight="1" s="31">
      <c r="A58" s="22" t="n">
        <v>54</v>
      </c>
      <c r="B58" s="12" t="inlineStr">
        <is>
          <t>Magdaong, Jennifer</t>
        </is>
      </c>
      <c r="C58" s="23" t="n"/>
      <c r="D58" s="12" t="inlineStr">
        <is>
          <t>Teacher Education (BEED / BSEDE / BSEDM / TEP)</t>
        </is>
      </c>
      <c r="E58" s="22" t="inlineStr">
        <is>
          <t>PT</t>
        </is>
      </c>
      <c r="F58" s="22" t="n">
        <v>3</v>
      </c>
      <c r="G58" s="22" t="n">
        <v>1</v>
      </c>
      <c r="H58" s="12" t="inlineStr">
        <is>
          <t>Not tasked — part-time</t>
        </is>
      </c>
      <c r="I5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8" s="23" t="inlineStr">
        <is>
          <t>—</t>
        </is>
      </c>
      <c r="K58" s="12" t="inlineStr">
        <is>
          <t>Part-time — not tasked.</t>
        </is>
      </c>
    </row>
    <row r="59" ht="23.75" customHeight="1" s="31"/>
    <row r="60">
      <c r="A60" s="35" t="inlineStr">
        <is>
          <t>Unique faculty</t>
        </is>
      </c>
      <c r="D60" s="15">
        <f>COUNTA($B$5:$B$59)</f>
        <v/>
      </c>
    </row>
    <row r="61" ht="15" customHeight="1" s="31">
      <c r="A61" s="35" t="inlineStr">
        <is>
          <t>Full-time (tasked)</t>
        </is>
      </c>
      <c r="D61" s="15">
        <f>COUNTIF($E$5:$E$59,"FT")</f>
        <v/>
      </c>
    </row>
    <row r="62" ht="15" customHeight="1" s="31">
      <c r="A62" s="35" t="inlineStr">
        <is>
          <t>Part-time (not tasked)</t>
        </is>
      </c>
      <c r="D62" s="15">
        <f>COUNTIF($E$5:$E$59,"PT")</f>
        <v/>
      </c>
    </row>
    <row r="63" ht="15" customHeight="1" s="31">
      <c r="A63" s="35" t="inlineStr">
        <is>
          <t>Full-time faculty available to task (excluding the Dean, the Vice Dean and the 5 Programme Chairs; the MIS Head is on this roster as part-time)</t>
        </is>
      </c>
      <c r="D63" s="15">
        <f>COUNTIF($E$5:$E$59,"FT")-7</f>
        <v/>
      </c>
    </row>
    <row r="64" ht="15" customHeight="1" s="31">
      <c r="A64" s="35" t="inlineStr">
        <is>
          <t>Total units carried this semester</t>
        </is>
      </c>
      <c r="D64" s="15">
        <f>SUM($F$5:$F$59)</f>
        <v/>
      </c>
    </row>
    <row r="65" ht="15" customHeight="1" s="31">
      <c r="A65" s="35" t="inlineStr">
        <is>
          <t>Average units per faculty</t>
        </is>
      </c>
      <c r="D65" s="15">
        <f>ROUND(AVERAGE($F$5:$F$59),1)</f>
        <v/>
      </c>
    </row>
    <row r="66" ht="15" customHeight="1" s="31"/>
  </sheetData>
  <autoFilter ref="A4:J59"/>
  <mergeCells count="8">
    <mergeCell ref="A1:J1"/>
    <mergeCell ref="A60:C60"/>
    <mergeCell ref="A63:C63"/>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26"/>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2" ht="35" customHeight="1" s="31">
      <c r="A12" s="4" t="n">
        <v>46286</v>
      </c>
      <c r="B12" s="3" t="inlineStr">
        <is>
          <t>Proposed Schedule of Classes, First Year - Trimester 1 to 3, combined 1-BSA / 1-BSAIS section — 31 contact hours and 23 units per trimester, Monday to Thursday, Friday kept free</t>
        </is>
      </c>
      <c r="C12" s="3" t="inlineStr">
        <is>
          <t>Program Chair, BSA &amp; BSAIS</t>
        </is>
      </c>
      <c r="D12" s="3" t="inlineStr">
        <is>
          <t>Items 18, 24</t>
        </is>
      </c>
      <c r="E12" s="2" t="inlineStr">
        <is>
          <t>For review</t>
        </is>
      </c>
      <c r="F12" s="3" t="inlineStr">
        <is>
          <t>BSA &amp; BSAIS Outputs/Sample Schedule — Word and PDF</t>
        </is>
      </c>
    </row>
    <row r="13" ht="35" customHeight="1" s="31">
      <c r="A13" s="4" t="n">
        <v>46286</v>
      </c>
      <c r="B13" s="3" t="inlineStr">
        <is>
          <t>Proposed Faculty Loading, First Year - Trimester 1 to 3 — one full-time and 13 part-time faculty, units per instructor per trimester</t>
        </is>
      </c>
      <c r="C13" s="3" t="inlineStr">
        <is>
          <t>Program Chair, BSA &amp; BSAIS</t>
        </is>
      </c>
      <c r="D13" s="3" t="inlineStr">
        <is>
          <t>Items 18, 24; supports item 11</t>
        </is>
      </c>
      <c r="E13" s="2" t="inlineStr">
        <is>
          <t>For review</t>
        </is>
      </c>
      <c r="F13" s="3" t="inlineStr">
        <is>
          <t>BSA &amp; BSAIS Outputs/Faculty Matrix &amp; Loading — Word and PDF</t>
        </is>
      </c>
    </row>
    <row r="14" ht="35" customHeight="1" s="31">
      <c r="A14" s="4" t="n">
        <v>46286</v>
      </c>
      <c r="B14" s="3" t="inlineStr">
        <is>
          <t>Naming convention "First Year - Trimester 1" applied to the BSA and BSAIS curricula, Sample Curriculum.xlsx, the sample schedule workbook, CHED Form 1 and 2, and both self-evaluations (builder updated)</t>
        </is>
      </c>
      <c r="C14" s="3" t="inlineStr">
        <is>
          <t>Program Chair, BSA &amp; BSAIS</t>
        </is>
      </c>
      <c r="D14" s="3" t="inlineStr">
        <is>
          <t>Items 2, 15, 21</t>
        </is>
      </c>
      <c r="E14" s="2" t="inlineStr">
        <is>
          <t>Done</t>
        </is>
      </c>
      <c r="F14" s="3" t="inlineStr">
        <is>
          <t>BSA &amp; BSAIS Outputs (all subfolders); Self-Evaluation Builder</t>
        </is>
      </c>
    </row>
    <row r="15" ht="35" customHeight="1" s="31">
      <c r="A15" s="4" t="n">
        <v>46288</v>
      </c>
      <c r="B15" s="3" t="inlineStr">
        <is>
          <t>Feasibility study for the conversion of the BSA to a 3-year trimester delivery — description, management viability (administrator matrix), market viability (five-year enrolment projection from 30 first-year enrollees growing 10% a year), financial viability, matters to be supplied, conclusion and recommendation; cites the Graduate Tracer Study, Batch May 2025 (28 of 30 graduates employed in their field — 93% overall, BSA 95%, BSAIS 90%) and, for BSA, the first CPALE batch (4 passers of 6)</t>
        </is>
      </c>
      <c r="C15" s="3" t="inlineStr">
        <is>
          <t>Program Chair, BSA</t>
        </is>
      </c>
      <c r="D15" s="3" t="inlineStr">
        <is>
          <t>Items 3, 4, 5, 6, 7, 8</t>
        </is>
      </c>
      <c r="E15" s="2" t="inlineStr">
        <is>
          <t>For review</t>
        </is>
      </c>
      <c r="F15" s="3" t="inlineStr">
        <is>
          <t>BSA &amp; BSAIS Outputs/Feasibility Study — Word and PDF</t>
        </is>
      </c>
    </row>
    <row r="16" ht="35" customHeight="1" s="31">
      <c r="A16" s="4" t="n">
        <v>46288</v>
      </c>
      <c r="B16" s="3" t="inlineStr">
        <is>
          <t>Feasibility study for the conversion of the BSAIS to a 3-year trimester delivery — same structure, projected from 25 first-year enrollees growing 10% a year; cites the Graduate Tracer Study, Batch May 2025 (28 of 30 graduates employed in their field — 93% overall, BSA 95%, BSAIS 90%) and, for BSA, the first CPALE batch (4 passers of 6)</t>
        </is>
      </c>
      <c r="C16" s="3" t="inlineStr">
        <is>
          <t>Program Chair, BSAIS</t>
        </is>
      </c>
      <c r="D16" s="3" t="inlineStr">
        <is>
          <t>Items 3, 4, 5, 6, 7, 8</t>
        </is>
      </c>
      <c r="E16" s="2" t="inlineStr">
        <is>
          <t>For review</t>
        </is>
      </c>
      <c r="F16" s="3" t="inlineStr">
        <is>
          <t>BSA &amp; BSAIS Outputs/Feasibility Study — Word and PDF</t>
        </is>
      </c>
    </row>
    <row r="17" ht="35" customHeight="1" s="31">
      <c r="A17" s="4" t="n">
        <v>46288</v>
      </c>
      <c r="B17" s="3" t="inlineStr">
        <is>
          <t>Tuition computation workbook, one per programme — Finance enters the rate per unit, the miscellaneous fee per term, the expense ratios and the tax rate on the Inputs sheet; enrolment, units billed, student-terms, collections, expenses, net income and the per-student comparison against the present four-year delivery all compute</t>
        </is>
      </c>
      <c r="C17" s="3" t="inlineStr">
        <is>
          <t>Program Chair, BSA &amp; BSAIS</t>
        </is>
      </c>
      <c r="D17" s="3" t="inlineStr">
        <is>
          <t>Item 8; supports items 3–7</t>
        </is>
      </c>
      <c r="E17" s="2" t="inlineStr">
        <is>
          <t>For review</t>
        </is>
      </c>
      <c r="F17" s="3" t="inlineStr">
        <is>
          <t>BSA &amp; BSAIS Outputs/Feasibility Study — Excel</t>
        </is>
      </c>
    </row>
    <row r="18">
      <c r="A18" s="4" t="n">
        <v>46288</v>
      </c>
      <c r="B18" s="3" t="inlineStr">
        <is>
          <t>Acceptability survey on the proposed 3-year trimester delivery — questionnaire on HCC letterhead (respondent profile, Part A acceptability, Part B benefits, Part C concerns, Part D readiness of the College, Part E preference and intention, Part F open questions, data privacy notice under RA 10173) and a tabulation workbook with dropdown encoding, weighted means, verbal interpretation bands and an acceptability index that recompute as forms are entered</t>
        </is>
      </c>
      <c r="C18" s="3" t="inlineStr">
        <is>
          <t>Program Chair, BSA &amp; BSAIS</t>
        </is>
      </c>
      <c r="D18" s="3" t="inlineStr">
        <is>
          <t>Supports items 4, 5, 6</t>
        </is>
      </c>
      <c r="E18" s="2" t="inlineStr">
        <is>
          <t>For review</t>
        </is>
      </c>
      <c r="F18" s="3" t="inlineStr">
        <is>
          <t>BSA &amp; BSAIS Outputs/Acceptability Survey — Word, PDF and Excel</t>
        </is>
      </c>
    </row>
    <row r="19" s="31">
      <c r="A19" s="4" t="n">
        <v>46288</v>
      </c>
      <c r="B19" s="3" t="inlineStr">
        <is>
          <t>Sampling plan for the acceptability survey — eight respondent groups with who is asked and how they are chosen, populations entered by office, target respondents computed (whole population for small groups, Slovin at 5% margin for large ones, floors for alumni and employers), and forms-out against forms-back with response rate. Plus all feasibility and survey documents rebuilt on the official HCC letterhead, short bond</t>
        </is>
      </c>
      <c r="C19" s="3" t="inlineStr">
        <is>
          <t>Program Chair, BSA &amp; BSAIS</t>
        </is>
      </c>
      <c r="D19" s="3" t="inlineStr">
        <is>
          <t>Supports items 3–8</t>
        </is>
      </c>
      <c r="E19" s="2" t="inlineStr">
        <is>
          <t>For review</t>
        </is>
      </c>
      <c r="F19" s="3" t="inlineStr">
        <is>
          <t>BSA &amp; BSAIS Outputs/Acceptability Survey and /Feasibility Study</t>
        </is>
      </c>
    </row>
    <row r="20" s="31">
      <c r="A20" s="4" t="n">
        <v>46321</v>
      </c>
      <c r="B20" s="3" t="inlineStr">
        <is>
          <t>Graduate Tracer Study, Batch of May 2025, worked into both feasibility studies — 30 graduates, 28 employed in work related to their field (93%; BSA 19 of 20, BSAIS 9 of 10), time from graduation to hiring, and the employers. Replaces the earlier 95% placeholder. Two entries in the raw file are still open: graduates recorded as employed with no employer named</t>
        </is>
      </c>
      <c r="C20" s="3" t="inlineStr">
        <is>
          <t>Program Chair, BSA &amp; BSAIS</t>
        </is>
      </c>
      <c r="D20" s="3" t="inlineStr">
        <is>
          <t>Items 4, 5; supports items 3, 6</t>
        </is>
      </c>
      <c r="E20" s="2" t="inlineStr">
        <is>
          <t>For review</t>
        </is>
      </c>
      <c r="F20" s="3" t="inlineStr">
        <is>
          <t>BSA &amp; BSAIS Outputs/Feasibility Study — workbook, Word and PDF</t>
        </is>
      </c>
    </row>
    <row r="21">
      <c r="A21" s="4" t="n">
        <v>46321</v>
      </c>
      <c r="B21" s="3" t="inlineStr">
        <is>
          <t>Faculty tasking rebuilt off the Proposed Faculty Loading — the four CPAs who carry the professional courses (J.R. Francisco, J.R. Empay, D.N. Santiago, R. Cruz) now own the course descriptions and syllabi for the courses that loading gives them, and the GE, PATH-FIT, NSTP and CLE teachers are named against theirs, instead of all of it sitting on the Vice Dean. D. Maglalang removed on resignation: CLE 1 in Trimester 3 to F. Ilag, and her three GE pool courses to Ilag (CLE 2), Germino (HIS-GEC) and Jamlang (RIZ-GEC)</t>
        </is>
      </c>
      <c r="C21" s="3" t="inlineStr">
        <is>
          <t>Program Chair, BSA &amp; BSAIS</t>
        </is>
      </c>
      <c r="D21" s="3" t="inlineStr">
        <is>
          <t>Items 19–20, 25–26, 74</t>
        </is>
      </c>
      <c r="E21" s="2" t="inlineStr">
        <is>
          <t>For review</t>
        </is>
      </c>
      <c r="F21" s="3" t="inlineStr">
        <is>
          <t>Tracker — Faculty, Assignments; Faculty Matrix &amp; Loading</t>
        </is>
      </c>
    </row>
    <row r="22">
      <c r="A22" s="4" t="n">
        <v>46321</v>
      </c>
      <c r="B22" s="3" t="inlineStr">
        <is>
          <t>Course syllabi, outcomes-based, for all remaining BSA and BSAIS courses (64 new drafts; 73 courses covered with the existing samples) — 14-week / 56-hour basis, mapped to the programme outcomes; references blank</t>
        </is>
      </c>
      <c r="C22" s="3" t="inlineStr">
        <is>
          <t>Program Chair, BSA &amp; BSAIS</t>
        </is>
      </c>
      <c r="D22" s="3" t="inlineStr">
        <is>
          <t>Items 20, 26; supports items 74, 75</t>
        </is>
      </c>
      <c r="E22" s="2" t="inlineStr">
        <is>
          <t>For review</t>
        </is>
      </c>
      <c r="F22" s="3" t="inlineStr">
        <is>
          <t>BSA &amp; BSAIS Outputs/Sample Syllabus/Drafts for Review — Word</t>
        </is>
      </c>
    </row>
    <row r="23">
      <c r="A23" s="4" t="n">
        <v>46321</v>
      </c>
      <c r="B23" s="3" t="inlineStr">
        <is>
          <t>Course teacher named on every First Year syllabus — Prepared by / Subject Instructor set from the Proposed Faculty Loading across 24 courses (J.R. Francisco: FAR, CFAS; J.R. Empay: CBME 1, BL1; D.N. Santiago: MGT1; R. Cruz: FINMGT; M. Germino: MAT-GEC, HIS-GEC; N. Tolosa: US-GEC; S.M. Calma: PATH-FIT 1; L. Ramos: NSTP 1 and 2; M. Mequiabas: ART-GEC, PATH-FIT 2 and 3; X. Villamayor: COM-GEC, CON-GEC; F. Ilag: REL-GEC, CLE 1; J. Jamlang: RIZ-GEC; Vice Dean: ECO1, IA1, CAC). Middle initials are missing for most and should be supplied before filing</t>
        </is>
      </c>
      <c r="C23" s="3" t="inlineStr">
        <is>
          <t>Program Chair, BSA &amp; BSAIS</t>
        </is>
      </c>
      <c r="D23" s="3" t="inlineStr">
        <is>
          <t>Items 20, 26</t>
        </is>
      </c>
      <c r="E23" s="2" t="inlineStr">
        <is>
          <t>For review</t>
        </is>
      </c>
      <c r="F23" s="3" t="inlineStr">
        <is>
          <t>BSA &amp; BSAIS Outputs/Sample Syllabus and /Drafts for Review</t>
        </is>
      </c>
    </row>
    <row r="25">
      <c r="A25" s="35" t="inlineStr">
        <is>
          <t>Outputs recorded</t>
        </is>
      </c>
      <c r="B25" s="15">
        <f>COUNTA($B$5:$B$23)</f>
        <v/>
      </c>
    </row>
    <row r="26">
      <c r="A26" s="26" t="inlineStr">
        <is>
          <t>Add new rows directly beneath row 23; the count above uses a fixed range, so widen it when you do.</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2026-10-29T14:35:34Z</dcterms:modified>
  <cp:lastModifiedBy>Ken Gie Anthony Cruel</cp:lastModifiedBy>
  <cp:revision>0</cp:revision>
</cp:coreProperties>
</file>