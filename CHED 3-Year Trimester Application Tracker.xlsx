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8000" tabRatio="500" firstSheet="0" activeTab="0" autoFilterDateGrouping="1"/>
  </bookViews>
  <sheets>
    <sheet xmlns:r="http://schemas.openxmlformats.org/officeDocument/2006/relationships" name="Tracker" sheetId="1" state="visible" r:id="rId1"/>
    <sheet xmlns:r="http://schemas.openxmlformats.org/officeDocument/2006/relationships" name="Assignments" sheetId="2" state="visible" r:id="rId2"/>
    <sheet xmlns:r="http://schemas.openxmlformats.org/officeDocument/2006/relationships" name="Reference" sheetId="3" state="visible" r:id="rId3"/>
    <sheet xmlns:r="http://schemas.openxmlformats.org/officeDocument/2006/relationships" name="Faculty" sheetId="4" state="visible" r:id="rId4"/>
    <sheet xmlns:r="http://schemas.openxmlformats.org/officeDocument/2006/relationships" name="My Outputs" sheetId="5" state="visible" r:id="rId5"/>
  </sheets>
  <definedNames>
    <definedName name="_xlnm._FilterDatabase" localSheetId="0" hidden="1">'Tracker'!$A$4:$I$90</definedName>
    <definedName name="_xlnm.Print_Titles" localSheetId="0">'Tracker'!$4:$4</definedName>
    <definedName name="_xlnm._FilterDatabase" localSheetId="1" hidden="1">'Assignments'!$A$4:$E$52</definedName>
    <definedName name="_xlnm._FilterDatabase" localSheetId="3" hidden="1">'Faculty'!$A$4:$J$59</definedName>
  </definedNames>
  <calcPr calcId="191029" fullCalcOnLoad="1" iterateDelta="0.0001"/>
</workbook>
</file>

<file path=xl/styles.xml><?xml version="1.0" encoding="utf-8"?>
<styleSheet xmlns="http://schemas.openxmlformats.org/spreadsheetml/2006/main">
  <numFmts count="2">
    <numFmt numFmtId="164" formatCode="dd\-mmm\-yyyy"/>
    <numFmt numFmtId="165" formatCode="yyyy-mm-dd h:mm:ss"/>
  </numFmts>
  <fonts count="7">
    <font>
      <name val="Calibri"/>
      <charset val="1"/>
      <family val="2"/>
      <color theme="1"/>
      <sz val="11"/>
    </font>
    <font>
      <name val="Arial"/>
      <family val="2"/>
      <b val="1"/>
      <color rgb="FF1F3864"/>
      <sz val="13"/>
    </font>
    <font>
      <name val="Arial"/>
      <family val="2"/>
      <i val="1"/>
      <color rgb="FF595959"/>
      <sz val="9"/>
    </font>
    <font>
      <name val="Arial"/>
      <family val="2"/>
      <b val="1"/>
      <color rgb="FFFFFFFF"/>
      <sz val="10"/>
    </font>
    <font>
      <name val="Arial"/>
      <family val="2"/>
      <b val="1"/>
      <color rgb="FF1F3864"/>
      <sz val="10"/>
    </font>
    <font>
      <name val="Arial"/>
      <family val="2"/>
      <sz val="10"/>
    </font>
    <font>
      <name val="Arial"/>
      <family val="2"/>
      <b val="1"/>
      <sz val="10"/>
    </font>
  </fonts>
  <fills count="8">
    <fill>
      <patternFill/>
    </fill>
    <fill>
      <patternFill patternType="gray125"/>
    </fill>
    <fill>
      <patternFill patternType="solid">
        <fgColor rgb="FF1F3864"/>
        <bgColor rgb="FF333399"/>
      </patternFill>
    </fill>
    <fill>
      <patternFill patternType="solid">
        <fgColor rgb="FFD9E2F3"/>
        <bgColor rgb="FFEDF3FB"/>
      </patternFill>
    </fill>
    <fill>
      <patternFill patternType="solid">
        <fgColor rgb="FFFFF2CC"/>
        <bgColor rgb="FFFCE4D6"/>
      </patternFill>
    </fill>
    <fill>
      <patternFill patternType="solid">
        <fgColor rgb="FFEDF3FB"/>
        <bgColor rgb="FFF2F2F2"/>
      </patternFill>
    </fill>
    <fill>
      <patternFill patternType="solid">
        <fgColor rgb="FFFCE4D6"/>
        <bgColor rgb="FFFFF2CC"/>
      </patternFill>
    </fill>
    <fill>
      <patternFill patternType="solid">
        <fgColor rgb="FFF2F2F2"/>
        <bgColor rgb="FFEDF3FB"/>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36">
    <xf numFmtId="0" fontId="0" fillId="0" borderId="0" pivotButton="0" quotePrefix="0" xfId="0"/>
    <xf numFmtId="0" fontId="3" fillId="2" borderId="1" applyAlignment="1" pivotButton="0" quotePrefix="0" xfId="0">
      <alignment horizontal="center" vertical="center" wrapText="1"/>
    </xf>
    <xf numFmtId="0" fontId="5" fillId="0" borderId="1" applyAlignment="1" pivotButton="0" quotePrefix="0" xfId="0">
      <alignment horizontal="center" vertical="top"/>
    </xf>
    <xf numFmtId="0" fontId="5" fillId="0" borderId="1" applyAlignment="1" pivotButton="0" quotePrefix="0" xfId="0">
      <alignment vertical="top" wrapText="1"/>
    </xf>
    <xf numFmtId="164" fontId="5" fillId="0" borderId="1" applyAlignment="1" pivotButton="0" quotePrefix="0" xfId="0">
      <alignment horizontal="center" vertical="top"/>
    </xf>
    <xf numFmtId="0" fontId="5" fillId="4" borderId="1" applyAlignment="1" pivotButton="0" quotePrefix="0" xfId="0">
      <alignment horizontal="center" vertical="top"/>
    </xf>
    <xf numFmtId="9" fontId="5" fillId="4" borderId="1" applyAlignment="1" pivotButton="0" quotePrefix="0" xfId="0">
      <alignment horizontal="center" vertical="top"/>
    </xf>
    <xf numFmtId="0" fontId="5" fillId="4" borderId="1" applyAlignment="1" pivotButton="0" quotePrefix="0" xfId="0">
      <alignment vertical="top" wrapText="1"/>
    </xf>
    <xf numFmtId="0" fontId="5" fillId="5" borderId="1" applyAlignment="1" pivotButton="0" quotePrefix="0" xfId="0">
      <alignment vertical="top" wrapText="1"/>
    </xf>
    <xf numFmtId="164" fontId="5" fillId="5" borderId="1" applyAlignment="1" pivotButton="0" quotePrefix="0" xfId="0">
      <alignment horizontal="center" vertical="top"/>
    </xf>
    <xf numFmtId="0" fontId="5" fillId="6" borderId="1" applyAlignment="1" pivotButton="0" quotePrefix="0" xfId="0">
      <alignment vertical="top" wrapText="1"/>
    </xf>
    <xf numFmtId="164" fontId="5" fillId="6" borderId="1" applyAlignment="1" pivotButton="0" quotePrefix="0" xfId="0">
      <alignment horizontal="center" vertical="top"/>
    </xf>
    <xf numFmtId="0" fontId="5" fillId="7" borderId="1" applyAlignment="1" pivotButton="0" quotePrefix="0" xfId="0">
      <alignment vertical="top" wrapText="1"/>
    </xf>
    <xf numFmtId="164" fontId="5" fillId="7" borderId="1" applyAlignment="1" pivotButton="0" quotePrefix="0" xfId="0">
      <alignment horizontal="center" vertical="top"/>
    </xf>
    <xf numFmtId="0" fontId="6" fillId="0" borderId="0" pivotButton="0" quotePrefix="0" xfId="0"/>
    <xf numFmtId="0" fontId="4" fillId="0" borderId="0" pivotButton="0" quotePrefix="0" xfId="0"/>
    <xf numFmtId="0" fontId="3" fillId="2" borderId="1" applyAlignment="1" pivotButton="0" quotePrefix="0" xfId="0">
      <alignment horizontal="center" vertical="center"/>
    </xf>
    <xf numFmtId="0" fontId="6" fillId="0" borderId="1" applyAlignment="1" pivotButton="0" quotePrefix="0" xfId="0">
      <alignment vertical="top" wrapText="1"/>
    </xf>
    <xf numFmtId="0" fontId="6" fillId="0" borderId="1" pivotButton="0" quotePrefix="0" xfId="0"/>
    <xf numFmtId="1" fontId="5" fillId="0" borderId="1" pivotButton="0" quotePrefix="0" xfId="0"/>
    <xf numFmtId="9" fontId="5" fillId="0" borderId="1" pivotButton="0" quotePrefix="0" xfId="0"/>
    <xf numFmtId="0" fontId="5" fillId="0" borderId="1" applyAlignment="1" pivotButton="0" quotePrefix="0" xfId="0">
      <alignment vertical="top"/>
    </xf>
    <xf numFmtId="0" fontId="5" fillId="7" borderId="1" applyAlignment="1" pivotButton="0" quotePrefix="0" xfId="0">
      <alignment horizontal="center" vertical="top"/>
    </xf>
    <xf numFmtId="0" fontId="5" fillId="7" borderId="1" applyAlignment="1" pivotButton="0" quotePrefix="0" xfId="0">
      <alignment vertical="top"/>
    </xf>
    <xf numFmtId="0" fontId="5" fillId="6" borderId="1" applyAlignment="1" pivotButton="0" quotePrefix="0" xfId="0">
      <alignment horizontal="center" vertical="top"/>
    </xf>
    <xf numFmtId="0" fontId="5" fillId="6" borderId="1" applyAlignment="1" pivotButton="0" quotePrefix="0" xfId="0">
      <alignment vertical="top"/>
    </xf>
    <xf numFmtId="0" fontId="2" fillId="0" borderId="0" pivotButton="0" quotePrefix="0" xfId="0"/>
    <xf numFmtId="0" fontId="4" fillId="3" borderId="1" pivotButton="0" quotePrefix="0" xfId="0"/>
    <xf numFmtId="0" fontId="0" fillId="0" borderId="2" pivotButton="0" quotePrefix="0" xfId="0"/>
    <xf numFmtId="0" fontId="0" fillId="0" borderId="3" pivotButton="0" quotePrefix="0" xfId="0"/>
    <xf numFmtId="0" fontId="2" fillId="0" borderId="0" applyAlignment="1" pivotButton="0" quotePrefix="0" xfId="0">
      <alignment vertical="center" wrapText="1"/>
    </xf>
    <xf numFmtId="0" fontId="0" fillId="0" borderId="0" pivotButton="0" quotePrefix="0" xfId="0"/>
    <xf numFmtId="0" fontId="1" fillId="0" borderId="0" pivotButton="0" quotePrefix="0" xfId="0"/>
    <xf numFmtId="0" fontId="4" fillId="7" borderId="1" pivotButton="0" quotePrefix="0" xfId="0"/>
    <xf numFmtId="0" fontId="4" fillId="6" borderId="1" pivotButton="0" quotePrefix="0" xfId="0"/>
    <xf numFmtId="0" fontId="6" fillId="0" borderId="0" pivotButton="0" quotePrefix="0" xfId="0"/>
  </cellXfs>
  <cellStyles count="1">
    <cellStyle name="Normal" xfId="0" builtinId="0"/>
  </cellStyles>
  <dxfs count="8">
    <dxf>
      <font>
        <name val="Arial"/>
        <charset val="1"/>
        <color rgb="FF1F3864"/>
        <sz val="10"/>
      </font>
      <fill>
        <patternFill>
          <bgColor rgb="FFBDD7EE"/>
        </patternFill>
      </fill>
    </dxf>
    <dxf>
      <font>
        <name val="Arial"/>
        <charset val="1"/>
        <color rgb="FF7F6000"/>
        <sz val="10"/>
      </font>
      <fill>
        <patternFill>
          <bgColor rgb="FFFFE699"/>
        </patternFill>
      </fill>
    </dxf>
    <dxf>
      <font>
        <name val="Arial"/>
        <charset val="1"/>
        <b val="1"/>
        <color rgb="FF375623"/>
        <sz val="10"/>
      </font>
      <fill>
        <patternFill>
          <bgColor rgb="FFC6E0B4"/>
        </patternFill>
      </fill>
    </dxf>
    <dxf>
      <font>
        <name val="Arial"/>
        <charset val="1"/>
        <color rgb="FF7F6000"/>
        <sz val="10"/>
      </font>
      <fill>
        <patternFill>
          <bgColor rgb="FFFFE699"/>
        </patternFill>
      </fill>
    </dxf>
    <dxf>
      <font>
        <name val="Arial"/>
        <charset val="1"/>
        <color rgb="FF1F3864"/>
        <sz val="10"/>
      </font>
      <fill>
        <patternFill>
          <bgColor rgb="FFBDD7EE"/>
        </patternFill>
      </fill>
    </dxf>
    <dxf>
      <font>
        <name val="Arial"/>
        <charset val="1"/>
        <b val="1"/>
        <color rgb="FF375623"/>
        <sz val="10"/>
      </font>
      <fill>
        <patternFill>
          <bgColor rgb="FFC6E0B4"/>
        </patternFill>
      </fill>
    </dxf>
    <dxf>
      <fill>
        <patternFill>
          <bgColor rgb="FFFFE699"/>
        </patternFill>
      </fill>
    </dxf>
    <dxf>
      <font>
        <name val="Arial"/>
        <charset val="1"/>
        <color rgb="FF9C0006"/>
        <sz val="10"/>
      </font>
      <fill>
        <patternFill>
          <bgColor rgb="FFF8CBA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BFBFBF"/>
      <rgbColor rgb="FF808080"/>
      <rgbColor rgb="FF9999FF"/>
      <rgbColor rgb="FF993366"/>
      <rgbColor rgb="FFFFF2CC"/>
      <rgbColor rgb="FFEDF3FB"/>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2F2F2"/>
      <rgbColor rgb="FFC6E0B4"/>
      <rgbColor rgb="FFFFE699"/>
      <rgbColor rgb="FFD9E2F3"/>
      <rgbColor rgb="FFFCE4D6"/>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90"/>
  <sheetViews>
    <sheetView tabSelected="1" zoomScaleNormal="100" workbookViewId="0">
      <pane ySplit="4" topLeftCell="A5" activePane="bottomLeft" state="frozen"/>
      <selection pane="bottomLeft" activeCell="G6" sqref="G6"/>
    </sheetView>
  </sheetViews>
  <sheetFormatPr baseColWidth="10" defaultColWidth="8.6640625" defaultRowHeight="15"/>
  <cols>
    <col width="5" customWidth="1" style="31" min="1" max="1"/>
    <col width="52" customWidth="1" style="31" min="2" max="2"/>
    <col width="19" customWidth="1" style="31" min="3" max="3"/>
    <col width="26" customWidth="1" style="31" min="4" max="4"/>
    <col width="30" customWidth="1" style="31" min="5" max="5"/>
    <col width="13" customWidth="1" style="31" min="6" max="7"/>
    <col width="7" customWidth="1" style="31" min="8" max="8"/>
    <col width="46" customWidth="1" style="31" min="9" max="9"/>
  </cols>
  <sheetData>
    <row r="1" ht="16.25" customHeight="1" s="31">
      <c r="A1" s="32" t="inlineStr">
        <is>
          <t>HOLY CROSS COLLEGE STA. ROSA, N.E., INC. — CHED 3-YEAR TRIMESTER APPLICATION — PROGRESS TRACKER</t>
        </is>
      </c>
    </row>
    <row r="2" ht="25.5" customHeight="1" s="31">
      <c r="A2" s="30" t="inlineStr">
        <is>
          <t>Requirements taken from the Preliminary Requirement checklist held by the Office of Academic Affairs. Target filing with CHED Region III: 13 November 2026 (Council Resolution 2026-08-03). Yellow cells are for you to update: Status, % and Notes.</t>
        </is>
      </c>
    </row>
    <row r="4" ht="30" customHeight="1" s="31">
      <c r="A4" s="1" t="inlineStr">
        <is>
          <t>#</t>
        </is>
      </c>
      <c r="B4" s="1" t="inlineStr">
        <is>
          <t>Requirement</t>
        </is>
      </c>
      <c r="C4" s="1" t="inlineStr">
        <is>
          <t>CHED reference</t>
        </is>
      </c>
      <c r="D4" s="1" t="inlineStr">
        <is>
          <t>Owner</t>
        </is>
      </c>
      <c r="E4" s="1" t="inlineStr">
        <is>
          <t>Support</t>
        </is>
      </c>
      <c r="F4" s="1" t="inlineStr">
        <is>
          <t>Due date</t>
        </is>
      </c>
      <c r="G4" s="1" t="inlineStr">
        <is>
          <t>Status</t>
        </is>
      </c>
      <c r="H4" s="1" t="inlineStr">
        <is>
          <t>%</t>
        </is>
      </c>
      <c r="I4" s="1" t="inlineStr">
        <is>
          <t>Notes</t>
        </is>
      </c>
    </row>
    <row r="5" ht="15" customHeight="1" s="31">
      <c r="A5" s="27" t="inlineStr">
        <is>
          <t>AREA A — GOVERNANCE &amp; SUBMISSION</t>
        </is>
      </c>
      <c r="B5" s="28" t="n"/>
      <c r="C5" s="28" t="n"/>
      <c r="D5" s="28" t="n"/>
      <c r="E5" s="28" t="n"/>
      <c r="F5" s="28" t="n"/>
      <c r="G5" s="28" t="n"/>
      <c r="H5" s="28" t="n"/>
      <c r="I5" s="29" t="n"/>
    </row>
    <row r="6" ht="113.5" customHeight="1" s="31">
      <c r="A6" s="2" t="n">
        <v>1</v>
      </c>
      <c r="B6" s="3" t="inlineStr">
        <is>
          <t>Transmittal letter to CHED, with copy of the Council of Program Chairs Minutes approving the offering of the new program</t>
        </is>
      </c>
      <c r="C6" s="3" t="inlineStr">
        <is>
          <t>Checklist item 1</t>
        </is>
      </c>
      <c r="D6" s="3" t="inlineStr">
        <is>
          <t>MIS Head Jayson R. Francisco</t>
        </is>
      </c>
      <c r="E6" s="3" t="inlineStr">
        <is>
          <t>Vice Dean Ken Gie Anthony G. Cruel (drafted both documents); VPAA Sta. Ines (signatory)</t>
        </is>
      </c>
      <c r="F6" s="4" t="n">
        <v>46277</v>
      </c>
      <c r="G6" s="5" t="inlineStr">
        <is>
          <t>For review</t>
        </is>
      </c>
      <c r="H6" s="6" t="n">
        <v>1</v>
      </c>
      <c r="I6" s="7" t="inlineStr">
        <is>
          <t>Transmittal letter accomplished and Minutes of the 27 Aug 2026 special meeting drafted by the Vice Dean, routed for signing (Res. 2026-08-01, -02, -03). Ownership transferred to the MIS Head on 3 Sep 2026 by direction of the Vice Dean. SIGNATORY CHECK: the CHED Region III Citizen's Charter requires the application letter to be signed by the Chairman of the Board of Trustees or the President, or an authorised representative — not by the VPAA. Confirm who signs before the letter is finalised.</t>
        </is>
      </c>
    </row>
    <row r="7" ht="91" customHeight="1" s="31">
      <c r="A7" s="2" t="n">
        <v>2</v>
      </c>
      <c r="B7" s="3" t="inlineStr">
        <is>
          <t>CHED Program Evaluation — self-evaluation compilation against each programme's CHED Policies, Standards and Guidelines (PSG)</t>
        </is>
      </c>
      <c r="C7" s="3" t="inlineStr">
        <is>
          <t>Checklist item 2</t>
        </is>
      </c>
      <c r="D7" s="3" t="inlineStr">
        <is>
          <t>Vice Dean Ken Gie Anthony G. Cruel</t>
        </is>
      </c>
      <c r="E7" s="3" t="inlineStr">
        <is>
          <t>All 8 Program Chairs (one PSG comparison each)</t>
        </is>
      </c>
      <c r="F7" s="4" t="n">
        <v>46318</v>
      </c>
      <c r="G7" s="5" t="inlineStr">
        <is>
          <t>In progress</t>
        </is>
      </c>
      <c r="H7" s="6" t="n">
        <v>0.5</v>
      </c>
      <c r="I7" s="7" t="inlineStr">
        <is>
          <t>RESOLVED 3 Sep 2026: there is no prescribed CHED form. It is a compilation the college prepares against each programme's PSG. Corroborated by the CHED Region III Citizen's Charter, which requires a duly accomplished self-evaluation form per programme on submission. Each of the 8 Chairs supplies their own programme's PSG comparison; the Vice Dean consolidates. 21 Sep 2026: BSA and BSAIS self-evaluations (Official and generated copies) now use the "First Year - Trimester 1" naming convention; the builder was updated to write it. 13 Oct 2026: BSA and BSAIS drafts regenerated as v1.1 (curricular finding complete; 40 programme-outcome mappings and the Year 1 teaching-load rows filled). 11 of 17 institutional requirements per programme still outstanding: faculty roster, library, facilities, internship, admission and retention, and the Sec. 20, 22 and 23 systems. 26 Oct 2026: the BSA and BSAIS Year 1 course syllabi that the self-evaluation cites are now drafted (see item 20 and 26).</t>
        </is>
      </c>
    </row>
    <row r="8" ht="15" customHeight="1" s="31">
      <c r="A8" s="27" t="inlineStr">
        <is>
          <t>AREA B — INSTITUTIONAL FEASIBILITY (Feasibility study for trimestral calendar)</t>
        </is>
      </c>
      <c r="B8" s="28" t="n"/>
      <c r="C8" s="28" t="n"/>
      <c r="D8" s="28" t="n"/>
      <c r="E8" s="28" t="n"/>
      <c r="F8" s="28" t="n"/>
      <c r="G8" s="28" t="n"/>
      <c r="H8" s="28" t="n"/>
      <c r="I8" s="29" t="n"/>
    </row>
    <row r="9" ht="23.75" customHeight="1" s="31">
      <c r="A9" s="2" t="n">
        <v>3</v>
      </c>
      <c r="B9" s="3" t="inlineStr">
        <is>
          <t>Philosophy and goals of the program</t>
        </is>
      </c>
      <c r="C9" s="3" t="inlineStr">
        <is>
          <t>Checklist item 3.1</t>
        </is>
      </c>
      <c r="D9" s="3" t="inlineStr">
        <is>
          <t>Vice Dean Ken Gie Anthony G. Cruel</t>
        </is>
      </c>
      <c r="E9" s="3" t="inlineStr">
        <is>
          <t>VPAA Sta. Ines</t>
        </is>
      </c>
      <c r="F9" s="4" t="n">
        <v>46295</v>
      </c>
      <c r="G9" s="5" t="inlineStr">
        <is>
          <t>In progress</t>
        </is>
      </c>
      <c r="H9" s="6" t="n">
        <v>0.5</v>
      </c>
      <c r="I9" s="7" t="inlineStr">
        <is>
          <t>23 Sep 2026: the description and goals of each programme are drafted in Section I of the BSA and BSAIS feasibility studies (BSA &amp; BSAIS Outputs/Feasibility Study). The remaining six programmes still need theirs. 26 Oct 2026: v2 drafts of the BSA and BSAIS feasibility studies now replace the earlier versions (acceptability survey results added; Table 9 mean to be corrected at source).</t>
        </is>
      </c>
    </row>
    <row r="10" ht="35" customHeight="1" s="31">
      <c r="A10" s="2" t="n">
        <v>4</v>
      </c>
      <c r="B10" s="3" t="inlineStr">
        <is>
          <t>Viability — demand for the graduates</t>
        </is>
      </c>
      <c r="C10" s="3" t="inlineStr">
        <is>
          <t>Checklist item 3.2.1</t>
        </is>
      </c>
      <c r="D10" s="3" t="inlineStr">
        <is>
          <t>MIS Head Jayson R. Francisco</t>
        </is>
      </c>
      <c r="E10" s="3" t="inlineStr">
        <is>
          <t>All Program Chairs; Feasibility &amp; Market Study Committee — full-time faculty, one per department</t>
        </is>
      </c>
      <c r="F10" s="4" t="n">
        <v>46304</v>
      </c>
      <c r="G10" s="5" t="inlineStr">
        <is>
          <t>Not started</t>
        </is>
      </c>
      <c r="H10" s="6" t="n">
        <v>0</v>
      </c>
      <c r="I10" s="7" t="inlineStr">
        <is>
          <t>Phase 2 of the project plan assigns market demand data gathering to MIS with the Chairs. 23 Sep 2026: Section III of the BSA and BSAIS feasibility studies carries the College's rationale on demand, flagged in the document itself as rationale and not survey findings. The market demand study supersedes it when available. Evidence now in Section III of both studies: 95% of BSA and BSAIS graduates are gainfully employed in work related to their field, on the College's own graduate survey; the first batch of CPALE examinees returned 4 passers out of 6. The survey instrument, period, population and respondents, and the PRC report of rating, must be attached as annexes. 23 Sep 2026: an acceptability survey on the proposed change is ready to run — questionnaire (form ref. HCC-VD-TRI-ACC-01, 23 Likert items in four parts plus preference and open questions) and a tabulation workbook that computes weighted means, verbal interpretations and an acceptability index as responses are encoded. In BSA &amp; BSAIS Outputs/Acceptability Survey. Still to decide: who is asked and how they are chosen — CHED will ask. 23 Sep 2026: house standard set for this application — every document is built on the College's official letterhead template (HEADER-PORTRAIT-SHORT-LONG.docx) on short bond, 8.5 x 11. The feasibility studies and the acceptability survey are already on it. The sampling plan for the survey is in the tabulation workbook: whole-population for the small groups, Slovin at a 5% margin for the large ones. 26 Oct 2026: the Graduate Tracer Study for the Batch of May 2025 is in and replaces the earlier 95% figure. Thirty graduates, twenty-eight employed in work related to their field — 93% overall, BSA 19 of 20 (95%), BSAIS 9 of 10 (90%). Ten were hired within a month of graduating and fifteen within three months; all within eight. One entry marked not employed was confirmed employed by the Vice Dean. Both feasibility studies now carry these figures and the workbook is filed with them.</t>
        </is>
      </c>
    </row>
    <row r="11" ht="46.25" customHeight="1" s="31">
      <c r="A11" s="2" t="n">
        <v>5</v>
      </c>
      <c r="B11" s="3" t="inlineStr">
        <is>
          <t>Viability — prospective students</t>
        </is>
      </c>
      <c r="C11" s="3" t="inlineStr">
        <is>
          <t>Checklist item 3.2.2</t>
        </is>
      </c>
      <c r="D11" s="3" t="inlineStr">
        <is>
          <t>MIS Head Jayson R. Francisco</t>
        </is>
      </c>
      <c r="E11" s="3" t="inlineStr">
        <is>
          <t>Registrar Laila D. Sarmiento; Feasibility &amp; Market Study Committee — full-time faculty, one per department</t>
        </is>
      </c>
      <c r="F11" s="4" t="n">
        <v>46304</v>
      </c>
      <c r="G11" s="5" t="inlineStr">
        <is>
          <t>Not started</t>
        </is>
      </c>
      <c r="H11" s="6" t="n">
        <v>0</v>
      </c>
      <c r="I11" s="7" t="inlineStr">
        <is>
          <t>23 Sep 2026: the feasibility studies project first-year intake at 30 (BSA) and 25 (BSAIS) growing ten per cent a year, and ask the Registrar for six years of historical freshmen enrolment to confirm or revise it. The 93% employment result from the May 2025 tracer study (BSA 95%) strengthens the prospective-student case and is cited in Section III of both studies. 23 Sep 2026: an acceptability survey on the proposed change is ready to run — questionnaire (form ref. HCC-VD-TRI-ACC-01, 23 Likert items in four parts plus preference and open questions) and a tabulation workbook that computes weighted means, verbal interpretations and an acceptability index as responses are encoded. In BSA &amp; BSAIS Outputs/Acceptability Survey. Still to decide: who is asked and how they are chosen — CHED will ask.</t>
        </is>
      </c>
    </row>
    <row r="12" ht="35" customHeight="1" s="31">
      <c r="A12" s="2" t="n">
        <v>6</v>
      </c>
      <c r="B12" s="3" t="inlineStr">
        <is>
          <t>Viability — existing schools offering the same program within the area</t>
        </is>
      </c>
      <c r="C12" s="3" t="inlineStr">
        <is>
          <t>Checklist item 3.2.3</t>
        </is>
      </c>
      <c r="D12" s="3" t="inlineStr">
        <is>
          <t>MIS Head Jayson R. Francisco</t>
        </is>
      </c>
      <c r="E12" s="3" t="inlineStr">
        <is>
          <t>All Program Chairs; Feasibility &amp; Market Study Committee — full-time faculty, one per department</t>
        </is>
      </c>
      <c r="F12" s="4" t="n">
        <v>46304</v>
      </c>
      <c r="G12" s="5" t="inlineStr">
        <is>
          <t>Not started</t>
        </is>
      </c>
      <c r="H12" s="6" t="n">
        <v>0</v>
      </c>
      <c r="I12" s="7" t="inlineStr">
        <is>
          <t>23 Sep 2026: the feasibility studies state that no other institution in the immediate area offers these programmes on a trimester calendar. This needs the competing-schools study behind it.</t>
        </is>
      </c>
    </row>
    <row r="13" ht="23.75" customHeight="1" s="31">
      <c r="A13" s="2" t="n">
        <v>7</v>
      </c>
      <c r="B13" s="3" t="inlineStr">
        <is>
          <t>Location of the school in relation to factors that are not conducive to learning</t>
        </is>
      </c>
      <c r="C13" s="3" t="inlineStr">
        <is>
          <t>Checklist item 3.3</t>
        </is>
      </c>
      <c r="D13" s="3" t="inlineStr">
        <is>
          <t>VPAA / VP Admin &amp; Finance Dr. Raquel T. Sta. Ines</t>
        </is>
      </c>
      <c r="E13" s="3" t="inlineStr">
        <is>
          <t>MIS Head Jayson R. Francisco</t>
        </is>
      </c>
      <c r="F13" s="4" t="n">
        <v>46304</v>
      </c>
      <c r="G13" s="5" t="inlineStr">
        <is>
          <t>Not started</t>
        </is>
      </c>
      <c r="H13" s="6" t="n">
        <v>0</v>
      </c>
      <c r="I13" s="7" t="inlineStr">
        <is>
          <t>The VPAA also serves as VP for Administration and Finance, so this sits with her office. 23 Sep 2026: the location narrative (Central Luzon, Maharlika Highway, Clark Economic Zone, the Bulacan airport terminal) is drafted in Section III of both feasibility studies.</t>
        </is>
      </c>
    </row>
    <row r="14" ht="23.75" customHeight="1" s="31">
      <c r="A14" s="2" t="n">
        <v>8</v>
      </c>
      <c r="B14" s="3" t="inlineStr">
        <is>
          <t>Schedule of tuition and other fees (trimestral)</t>
        </is>
      </c>
      <c r="C14" s="3" t="inlineStr">
        <is>
          <t>Checklist item 3.4</t>
        </is>
      </c>
      <c r="D14" s="3" t="inlineStr">
        <is>
          <t>Finance Officer Dana Marcelo</t>
        </is>
      </c>
      <c r="E14" s="3" t="inlineStr">
        <is>
          <t>Vice Dean Ken Gie Anthony G. Cruel</t>
        </is>
      </c>
      <c r="F14" s="4" t="n">
        <v>46318</v>
      </c>
      <c r="G14" s="5" t="inlineStr">
        <is>
          <t>Not started</t>
        </is>
      </c>
      <c r="H14" s="6" t="n">
        <v>0</v>
      </c>
      <c r="I14" s="7" t="inlineStr">
        <is>
          <t>Phase 1 of the project plan calls for the trimestral fee distribution model to be initiated. 23 Sep 2026: a computation workbook is ready for the Finance Office — “BSA/BSAIS 3-Year Trimester — Tuition Computation.xlsx”. Enter the rate per unit, the miscellaneous fee per term, the expense ratios and the tax rate, and tuition, collections, expenses and net income compute for five years. Two decisions are still Finance's: the rates themselves, and whether miscellaneous fees are charged at the same amount per term under a three-term year or annualised across three terms.</t>
        </is>
      </c>
    </row>
    <row r="15" ht="15" customHeight="1" s="31">
      <c r="A15" s="27" t="inlineStr">
        <is>
          <t>AREA C — ADMINISTRATORS, FACULTY &amp; NON-TEACHING PERSONNEL</t>
        </is>
      </c>
      <c r="B15" s="28" t="n"/>
      <c r="C15" s="28" t="n"/>
      <c r="D15" s="28" t="n"/>
      <c r="E15" s="28" t="n"/>
      <c r="F15" s="28" t="n"/>
      <c r="G15" s="28" t="n"/>
      <c r="H15" s="28" t="n"/>
      <c r="I15" s="29" t="n"/>
    </row>
    <row r="16" ht="46.25" customHeight="1" s="31">
      <c r="A16" s="2" t="n">
        <v>9</v>
      </c>
      <c r="B16" s="3" t="inlineStr">
        <is>
          <t>School administrator spreadsheet — name, educational qualifications (where and when obtained), position/designation, nature of appointment, status, rate of monthly salary, other benefits</t>
        </is>
      </c>
      <c r="C16" s="3" t="inlineStr">
        <is>
          <t>Checklist item 4.1</t>
        </is>
      </c>
      <c r="D16" s="3" t="inlineStr">
        <is>
          <t>HR Officer Ellarein Richelle Dela Cruz</t>
        </is>
      </c>
      <c r="E16" s="3" t="inlineStr">
        <is>
          <t>Vice Dean Ken Gie Anthony G. Cruel</t>
        </is>
      </c>
      <c r="F16" s="4" t="n">
        <v>46318</v>
      </c>
      <c r="G16" s="5" t="inlineStr">
        <is>
          <t>Not started</t>
        </is>
      </c>
      <c r="H16" s="6" t="n">
        <v>0</v>
      </c>
      <c r="I16" s="7" t="n"/>
    </row>
    <row r="17" ht="35" customHeight="1" s="31">
      <c r="A17" s="2" t="n">
        <v>10</v>
      </c>
      <c r="B17" s="3" t="inlineStr">
        <is>
          <t>School administrator — certified true copy of Transcript of Records, and appointment / notarized contract of employment / letter of commitment with confirmation</t>
        </is>
      </c>
      <c r="C17" s="3" t="inlineStr">
        <is>
          <t>Checklist item 4.2</t>
        </is>
      </c>
      <c r="D17" s="3" t="inlineStr">
        <is>
          <t>HR Officer Ellarein Richelle Dela Cruz</t>
        </is>
      </c>
      <c r="E17" s="3" t="inlineStr">
        <is>
          <t>VPAA / VP Admin &amp; Finance Dr. Raquel T. Sta. Ines</t>
        </is>
      </c>
      <c r="F17" s="4" t="n">
        <v>46325</v>
      </c>
      <c r="G17" s="5" t="inlineStr">
        <is>
          <t>Not started</t>
        </is>
      </c>
      <c r="H17" s="6" t="n">
        <v>0</v>
      </c>
      <c r="I17" s="7" t="n"/>
    </row>
    <row r="18" ht="46.25" customHeight="1" s="31">
      <c r="A18" s="2" t="n">
        <v>11</v>
      </c>
      <c r="B18" s="3" t="inlineStr">
        <is>
          <t>Faculty spreadsheet (general education and major courses) — name, educational qualifications, field of specialization, course assignment, nature of appointment, status, rate of monthly salary, other benefits</t>
        </is>
      </c>
      <c r="C18" s="3" t="inlineStr">
        <is>
          <t>Checklist item 5.1</t>
        </is>
      </c>
      <c r="D18" s="3" t="inlineStr">
        <is>
          <t>HR Officer Ellarein Richelle Dela Cruz</t>
        </is>
      </c>
      <c r="E18" s="3" t="inlineStr">
        <is>
          <t>All 8 Program Chairs (specialization and course assignment)</t>
        </is>
      </c>
      <c r="F18" s="4" t="n">
        <v>46318</v>
      </c>
      <c r="G18" s="5" t="inlineStr">
        <is>
          <t>Not started</t>
        </is>
      </c>
      <c r="H18" s="6" t="n">
        <v>0</v>
      </c>
      <c r="I18" s="7" t="inlineStr">
        <is>
          <t>Phase 1 of the project plan has HR issuing the call-out for faculty certified true copy Transcripts of Record. 21 Sep 2026: BSA and BSAIS course assignments for First Year - Trimester 1 to 3 are available from the Proposed Faculty Loading (BSA &amp; BSAIS Outputs/Faculty Matrix &amp; Loading).</t>
        </is>
      </c>
    </row>
    <row r="19" ht="23.75" customHeight="1" s="31">
      <c r="A19" s="2" t="n">
        <v>12</v>
      </c>
      <c r="B19" s="3" t="inlineStr">
        <is>
          <t>Faculty — certified true copies of Transcripts of Record</t>
        </is>
      </c>
      <c r="C19" s="3" t="inlineStr">
        <is>
          <t>Checklist item 5.2</t>
        </is>
      </c>
      <c r="D19" s="3" t="inlineStr">
        <is>
          <t>HR Officer Ellarein Richelle Dela Cruz</t>
        </is>
      </c>
      <c r="E19" s="3" t="inlineStr">
        <is>
          <t>All 8 Program Chairs</t>
        </is>
      </c>
      <c r="F19" s="4" t="n">
        <v>46325</v>
      </c>
      <c r="G19" s="5" t="inlineStr">
        <is>
          <t>Not started</t>
        </is>
      </c>
      <c r="H19" s="6" t="n">
        <v>0</v>
      </c>
      <c r="I19" s="7" t="n"/>
    </row>
    <row r="20" ht="23.75" customHeight="1" s="31">
      <c r="A20" s="2" t="n">
        <v>13</v>
      </c>
      <c r="B20" s="3" t="inlineStr">
        <is>
          <t>Faculty — appointment / notarized contract of employment / letter of commitment with confirmation</t>
        </is>
      </c>
      <c r="C20" s="3" t="inlineStr">
        <is>
          <t>Checklist item 5.3</t>
        </is>
      </c>
      <c r="D20" s="3" t="inlineStr">
        <is>
          <t>HR Officer Ellarein Richelle Dela Cruz</t>
        </is>
      </c>
      <c r="E20" s="3" t="inlineStr">
        <is>
          <t>VPAA Sta. Ines</t>
        </is>
      </c>
      <c r="F20" s="4" t="n">
        <v>46325</v>
      </c>
      <c r="G20" s="5" t="inlineStr">
        <is>
          <t>Not started</t>
        </is>
      </c>
      <c r="H20" s="6" t="n">
        <v>0</v>
      </c>
      <c r="I20" s="7" t="n"/>
    </row>
    <row r="21" ht="35" customHeight="1" s="31">
      <c r="A21" s="2" t="n">
        <v>14</v>
      </c>
      <c r="B21" s="3" t="inlineStr">
        <is>
          <t>List of non-teaching personnel</t>
        </is>
      </c>
      <c r="C21" s="3" t="inlineStr">
        <is>
          <t>Checklist item 6</t>
        </is>
      </c>
      <c r="D21" s="3" t="inlineStr">
        <is>
          <t>VPAA / VP Admin &amp; Finance Dr. Raquel T. Sta. Ines</t>
        </is>
      </c>
      <c r="E21" s="3" t="inlineStr">
        <is>
          <t>HR Officer Ellarein Richelle Dela Cruz</t>
        </is>
      </c>
      <c r="F21" s="4" t="n">
        <v>46318</v>
      </c>
      <c r="G21" s="5" t="inlineStr">
        <is>
          <t>Not started</t>
        </is>
      </c>
      <c r="H21" s="6" t="n">
        <v>0</v>
      </c>
      <c r="I21" s="7" t="inlineStr">
        <is>
          <t>Checklist assigns this to Admin. There is no separate Admin Office Head — the VPAA holds the VP for Administration and Finance portfolio.</t>
        </is>
      </c>
    </row>
    <row r="22" ht="15" customHeight="1" s="31">
      <c r="A22" s="27" t="inlineStr">
        <is>
          <t>AREA D — CURRICULUM (per program)</t>
        </is>
      </c>
      <c r="B22" s="28" t="n"/>
      <c r="C22" s="28" t="n"/>
      <c r="D22" s="28" t="n"/>
      <c r="E22" s="28" t="n"/>
      <c r="F22" s="28" t="n"/>
      <c r="G22" s="28" t="n"/>
      <c r="H22" s="28" t="n"/>
      <c r="I22" s="29" t="n"/>
    </row>
    <row r="23" ht="91" customHeight="1" s="31">
      <c r="A23" s="2" t="n">
        <v>15</v>
      </c>
      <c r="B23" s="3" t="inlineStr">
        <is>
          <t>Curriculum — distribution of courses per trimester (9-term prospectus), BSA</t>
        </is>
      </c>
      <c r="C23" s="3" t="inlineStr">
        <is>
          <t>Checklist item 7.1</t>
        </is>
      </c>
      <c r="D23" s="3" t="inlineStr">
        <is>
          <t>Vice Dean Ken Gie Anthony G. Cruel</t>
        </is>
      </c>
      <c r="E23" s="3" t="inlineStr">
        <is>
          <t>Vice Dean Ken Gie Anthony G. Cruel (compliance audit); MIS Head Jayson R. Francisco (repository)</t>
        </is>
      </c>
      <c r="F23" s="4" t="n">
        <v>46290</v>
      </c>
      <c r="G23" s="5" t="inlineStr">
        <is>
          <t>For review</t>
        </is>
      </c>
      <c r="H23" s="6" t="n">
        <v>1</v>
      </c>
      <c r="I23" s="7" t="inlineStr">
        <is>
          <t>Draft 9-trimester prospectus prepared by the Vice Dean — 191 total units across 9 terms. Must be recast onto the agreed template (see Reference): Course Code, Course Title, Lec Hrs, Lab Hrs, Total Hrs, Credit Units, Prerequisite(s), with a sub-total per trimester and the programme's own PSG cited in the header. TERM LENGTH DECIDED, 9 Sep 2026: 14 weeks per trimester, by the Council of Programme Chairs. The contact-hour standard moves with it from 54 to 56 hours per 3-unit subject, so a 3-unit subject runs 240 minutes a week and divides into whole periods (2 x 120, 3 x 80 or 4 x 60 minutes). MEETING DATE AND RESOLUTION NUMBER STILL TO BE SUPPLIED for the dossier. 21 Sep 2026: term headings renamed to the college convention "First Year - Trimester 1", "First Year - Trimester 2" … "Third Year - Trimester 3"; prerequisites now read "Completed Second Year" / "Completed Third Year - Trimester 1".</t>
        </is>
      </c>
    </row>
    <row r="24" ht="57.5" customHeight="1" s="31">
      <c r="A24" s="2" t="n">
        <v>16</v>
      </c>
      <c r="B24" s="3" t="inlineStr">
        <is>
          <t>Curriculum — summary of units, BSA</t>
        </is>
      </c>
      <c r="C24" s="3" t="inlineStr">
        <is>
          <t>Checklist item 7.2</t>
        </is>
      </c>
      <c r="D24" s="3" t="inlineStr">
        <is>
          <t>Vice Dean Ken Gie Anthony G. Cruel</t>
        </is>
      </c>
      <c r="E24" s="3" t="inlineStr">
        <is>
          <t>Vice Dean Ken Gie Anthony G. Cruel (compliance audit); MIS Head Jayson R. Francisco (repository)</t>
        </is>
      </c>
      <c r="F24" s="4" t="n">
        <v>46295</v>
      </c>
      <c r="G24" s="5" t="inlineStr">
        <is>
          <t>For review</t>
        </is>
      </c>
      <c r="H24" s="6" t="n">
        <v>1</v>
      </c>
      <c r="I24" s="7" t="inlineStr">
        <is>
          <t>Unit summary computed in the draft: Yr1 67, Yr2 67, Yr3 57. Two term totals still carry unresolved formulas — verify before finalising. TERM LENGTH DECIDED, 9 Sep 2026: 14 weeks per trimester, by the Council of Programme Chairs. The contact-hour standard moves with it from 54 to 56 hours per 3-unit subject, so a 3-unit subject runs 240 minutes a week and divides into whole periods (2 x 120, 3 x 80 or 4 x 60 minutes). MEETING DATE AND RESOLUTION NUMBER STILL TO BE SUPPLIED for the dossier.</t>
        </is>
      </c>
    </row>
    <row r="25" ht="35" customHeight="1" s="31">
      <c r="A25" s="2" t="n">
        <v>17</v>
      </c>
      <c r="B25" s="3" t="inlineStr">
        <is>
          <t>Updated trimester curriculum — list of subjects with GE and Specialized identified, BSA</t>
        </is>
      </c>
      <c r="C25" s="3" t="inlineStr">
        <is>
          <t>Checklist item 9.1</t>
        </is>
      </c>
      <c r="D25" s="3" t="inlineStr">
        <is>
          <t>Vice Dean Ken Gie Anthony G. Cruel</t>
        </is>
      </c>
      <c r="E25" s="3" t="inlineStr">
        <is>
          <t>Vice Dean Ken Gie Anthony G. Cruel (compliance audit); MIS Head Jayson R. Francisco (repository)</t>
        </is>
      </c>
      <c r="F25" s="4" t="n">
        <v>46295</v>
      </c>
      <c r="G25" s="5" t="inlineStr">
        <is>
          <t>For review</t>
        </is>
      </c>
      <c r="H25" s="6" t="n">
        <v>1</v>
      </c>
      <c r="I25" s="7" t="inlineStr">
        <is>
          <t>General education courses are identifiable by code in the draft prospectus; the formal GE versus Specialised tagging sheet is still to be produced.</t>
        </is>
      </c>
    </row>
    <row r="26" ht="135.75" customHeight="1" s="31">
      <c r="A26" s="2" t="n">
        <v>18</v>
      </c>
      <c r="B26" s="3" t="inlineStr">
        <is>
          <t>Updated trimester curriculum — sample schedule (Trimesters 1, 2 and 3), BSA</t>
        </is>
      </c>
      <c r="C26" s="3" t="inlineStr">
        <is>
          <t>Checklist item 9.2</t>
        </is>
      </c>
      <c r="D26" s="3" t="inlineStr">
        <is>
          <t>Vice Dean Ken Gie Anthony G. Cruel</t>
        </is>
      </c>
      <c r="E26" s="3" t="inlineStr">
        <is>
          <t>Vice Dean Ken Gie Anthony G. Cruel (compliance audit); MIS Head Jayson R. Francisco (repository)</t>
        </is>
      </c>
      <c r="F26" s="4" t="n">
        <v>46304</v>
      </c>
      <c r="G26" s="5" t="inlineStr">
        <is>
          <t>For review</t>
        </is>
      </c>
      <c r="H26" s="6" t="n">
        <v>1</v>
      </c>
      <c r="I26" s="7" t="inlineStr">
        <is>
          <t>21 Sep 2026: PROPOSED SCHEDULE OF CLASSES built for First Year - Trimester 1, 2 and 3 (BSA and BSAIS share one First Year section, 1-BSA-A / 1-BSAIS-A), with the matching PROPOSED FACULTY LOADING. Each trimester carries 31 contact hours a week and 23 units, Monday to Thursday only; Friday is kept free for consultation, make-up classes and student activities. A 3-unit course meets 4 hours a week (2 x 2-hour meetings, MW or TTH), which gives the settled 56 hours over 14 weeks, examination weeks included. Signatories: prepared by the Program Chair, reviewed by the College Dean, approved by the VPAA. Files: BSA &amp; BSAIS Outputs/Sample Schedule/Proposed Schedule of Classes - First Year, Trimesters 1-3 (BSA-BSAIS) and BSA &amp; BSAIS Outputs/Faculty Matrix &amp; Loading/Proposed Faculty Loading - First Year, Trimesters 1-3 (BSA-BSAIS), Word and PDF. NOT YET BUILT: Second Year and Third Year schedules — raise with the Vice Dean if CHED expects all nine trimesters rather than one year's Trimesters 1, 2 and 3. Rooms are provisional (ML 401 for lecture, ML 211 for PATH-FIT).</t>
        </is>
      </c>
    </row>
    <row r="27" ht="124.5" customHeight="1" s="31">
      <c r="A27" s="2" t="n">
        <v>19</v>
      </c>
      <c r="B27" s="3" t="inlineStr">
        <is>
          <t>Curriculum — course descriptions, BSA</t>
        </is>
      </c>
      <c r="C27" s="3" t="inlineStr">
        <is>
          <t>Checklist item 7.3</t>
        </is>
      </c>
      <c r="D27" s="3" t="inlineStr">
        <is>
          <t>Vice Dean Ken Gie Anthony G. Cruel</t>
        </is>
      </c>
      <c r="E27" s="3" t="inlineStr">
        <is>
          <t>Vice Dean Ken Gie Anthony G. Cruel (compliance audit); MIS Head Jayson R. Francisco (repository); General Education Syllabi Pool (20 shared GE, PATH-FIT, NSTP and CLE courses, written once for all 8 programs); Business Cluster Pool (shared business, economics and law courses); Course teachers named in the Proposed Faculty Loading, First Year Trimesters 1–3 — J.R. Francisco, CPA; J.R. Empay, CPA; D.N. Santiago, CPA; R. Cruz, CPA (professional courses), each writing the description and syllabus for the courses that loading gives them; M. Germino, N. Tolosa, S.M. Calma, L. Ramos, M. Mequiabas, X. Villamayor, F. Ilag, J. Jamlang (GE, PATH-FIT, NSTP and CLE). Still no full-time faculty besides the Chair — see Open Item 9</t>
        </is>
      </c>
      <c r="F27" s="4" t="n">
        <v>46304</v>
      </c>
      <c r="G27" s="5" t="inlineStr">
        <is>
          <t>For review</t>
        </is>
      </c>
      <c r="H27" s="6" t="n">
        <v>1</v>
      </c>
      <c r="I27" s="7" t="inlineStr">
        <is>
          <t>Awaiting the curriculum template. CAPACITY RISK: the programme-specialised courses here have no full-time author other than the Chair.</t>
        </is>
      </c>
    </row>
    <row r="28" ht="124.5" customHeight="1" s="31">
      <c r="A28" s="2" t="n">
        <v>20</v>
      </c>
      <c r="B28" s="3" t="inlineStr">
        <is>
          <t>Curriculum — course syllabi (outcomes-based), BSA</t>
        </is>
      </c>
      <c r="C28" s="3" t="inlineStr">
        <is>
          <t>Checklist item 7.4</t>
        </is>
      </c>
      <c r="D28" s="3" t="inlineStr">
        <is>
          <t>Vice Dean Ken Gie Anthony G. Cruel</t>
        </is>
      </c>
      <c r="E28" s="3" t="inlineStr">
        <is>
          <t>Vice Dean Ken Gie Anthony G. Cruel (compliance audit); MIS Head Jayson R. Francisco (repository); General Education Syllabi Pool (20 shared GE, PATH-FIT, NSTP and CLE courses, written once for all 8 programs); Business Cluster Pool (shared business, economics and law courses); Course teachers named in the Proposed Faculty Loading, First Year Trimesters 1–3 — J.R. Francisco, CPA; J.R. Empay, CPA; D.N. Santiago, CPA; R. Cruz, CPA (professional courses), each writing the description and syllabus for the courses that loading gives them; M. Germino, N. Tolosa, S.M. Calma, L. Ramos, M. Mequiabas, X. Villamayor, F. Ilag, J. Jamlang (GE, PATH-FIT, NSTP and CLE). Still no full-time faculty besides the Chair — see Open Item 9</t>
        </is>
      </c>
      <c r="F28" s="4" t="n">
        <v>46311</v>
      </c>
      <c r="G28" s="5" t="inlineStr">
        <is>
          <t>For review</t>
        </is>
      </c>
      <c r="H28" s="6" t="n">
        <v>1</v>
      </c>
      <c r="I28" s="7" t="inlineStr">
        <is>
          <t>ASSESSMENT SCHEME confirmed by the Vice Dean, 3 Sep 2026: two examinations per term (midterm and final), one required monthly assessment, plus regular quizzes and activities. Every syllabus must carry this scheme. CAPACITY RISK: the programme-specialised courses here have no full-time author other than the Chair. 26 Oct 2026: all BSA course syllabi drafted on the OBE template (14-week / 56-hour basis, midterm Week 7, final Week 14) in BSA &amp; BSAIS Outputs/Sample Syllabus/Drafts for Review; references left blank; subject-expert review pending. AE7-INT 400-hour deployment still to be confirmed. 26 Oct 2026: the syllabus drafts now carry the course teacher. Prepared by / Subject Instructor on each of the 24 First Year courses is the faculty member the Proposed Faculty Loading assigns to it — 20 changed from the Vice Dean, 4 were already right. Reviewed by (Chair), Recommended by (Vice Dean) and Approved by (Dean) are unchanged. The 51 Second and Third Year syllabi still read Vice Dean as instructor, because no loading has been drawn for those years yet.</t>
        </is>
      </c>
    </row>
    <row r="29" ht="91" customHeight="1" s="31">
      <c r="A29" s="2" t="n">
        <v>21</v>
      </c>
      <c r="B29" s="3" t="inlineStr">
        <is>
          <t>Curriculum — distribution of courses per trimester (9-term prospectus), BSAIS</t>
        </is>
      </c>
      <c r="C29" s="3" t="inlineStr">
        <is>
          <t>Checklist item 7.1</t>
        </is>
      </c>
      <c r="D29" s="3" t="inlineStr">
        <is>
          <t>Vice Dean Ken Gie Anthony G. Cruel</t>
        </is>
      </c>
      <c r="E29" s="3" t="inlineStr">
        <is>
          <t>Vice Dean Ken Gie Anthony G. Cruel (compliance audit); MIS Head Jayson R. Francisco (repository)</t>
        </is>
      </c>
      <c r="F29" s="4" t="n">
        <v>46290</v>
      </c>
      <c r="G29" s="5" t="inlineStr">
        <is>
          <t>For review</t>
        </is>
      </c>
      <c r="H29" s="6" t="n">
        <v>1</v>
      </c>
      <c r="I29" s="7" t="inlineStr">
        <is>
          <t>Draft 9-trimester prospectus prepared by the Vice Dean — 185 total units across 9 terms. Must be recast onto the agreed template (see Reference): Course Code, Course Title, Lec Hrs, Lab Hrs, Total Hrs, Credit Units, Prerequisite(s), with a sub-total per trimester and the programme's own PSG cited in the header. TERM LENGTH DECIDED, 9 Sep 2026: 14 weeks per trimester, by the Council of Programme Chairs. The contact-hour standard moves with it from 54 to 56 hours per 3-unit subject, so a 3-unit subject runs 240 minutes a week and divides into whole periods (2 x 120, 3 x 80 or 4 x 60 minutes). MEETING DATE AND RESOLUTION NUMBER STILL TO BE SUPPLIED for the dossier. 21 Sep 2026: term headings renamed to the college convention "First Year - Trimester 1", "First Year - Trimester 2" … "Third Year - Trimester 3"; prerequisites now read "Completed Second Year" / "Completed Third Year - Trimester 1".</t>
        </is>
      </c>
    </row>
    <row r="30" ht="57.5" customHeight="1" s="31">
      <c r="A30" s="2" t="n">
        <v>22</v>
      </c>
      <c r="B30" s="3" t="inlineStr">
        <is>
          <t>Curriculum — summary of units, BSAIS</t>
        </is>
      </c>
      <c r="C30" s="3" t="inlineStr">
        <is>
          <t>Checklist item 7.2</t>
        </is>
      </c>
      <c r="D30" s="3" t="inlineStr">
        <is>
          <t>Vice Dean Ken Gie Anthony G. Cruel</t>
        </is>
      </c>
      <c r="E30" s="3" t="inlineStr">
        <is>
          <t>Vice Dean Ken Gie Anthony G. Cruel (compliance audit); MIS Head Jayson R. Francisco (repository)</t>
        </is>
      </c>
      <c r="F30" s="4" t="n">
        <v>46295</v>
      </c>
      <c r="G30" s="5" t="inlineStr">
        <is>
          <t>For review</t>
        </is>
      </c>
      <c r="H30" s="6" t="n">
        <v>1</v>
      </c>
      <c r="I30" s="7" t="inlineStr">
        <is>
          <t>Unit summary computed in the draft: Yr1 67, Yr2 67, Yr3 51. Two term totals still carry unresolved formulas — verify before finalising. TERM LENGTH DECIDED, 9 Sep 2026: 14 weeks per trimester, by the Council of Programme Chairs. The contact-hour standard moves with it from 54 to 56 hours per 3-unit subject, so a 3-unit subject runs 240 minutes a week and divides into whole periods (2 x 120, 3 x 80 or 4 x 60 minutes). MEETING DATE AND RESOLUTION NUMBER STILL TO BE SUPPLIED for the dossier.</t>
        </is>
      </c>
    </row>
    <row r="31" ht="35" customHeight="1" s="31">
      <c r="A31" s="2" t="n">
        <v>23</v>
      </c>
      <c r="B31" s="3" t="inlineStr">
        <is>
          <t>Updated trimester curriculum — list of subjects with GE and Specialized identified, BSAIS</t>
        </is>
      </c>
      <c r="C31" s="3" t="inlineStr">
        <is>
          <t>Checklist item 9.1</t>
        </is>
      </c>
      <c r="D31" s="3" t="inlineStr">
        <is>
          <t>Vice Dean Ken Gie Anthony G. Cruel</t>
        </is>
      </c>
      <c r="E31" s="3" t="inlineStr">
        <is>
          <t>Vice Dean Ken Gie Anthony G. Cruel (compliance audit); MIS Head Jayson R. Francisco (repository)</t>
        </is>
      </c>
      <c r="F31" s="4" t="n">
        <v>46295</v>
      </c>
      <c r="G31" s="5" t="inlineStr">
        <is>
          <t>For review</t>
        </is>
      </c>
      <c r="H31" s="6" t="n">
        <v>1</v>
      </c>
      <c r="I31" s="7" t="inlineStr">
        <is>
          <t>General education courses are identifiable by code in the draft prospectus; the formal GE versus Specialised tagging sheet is still to be produced.</t>
        </is>
      </c>
    </row>
    <row r="32" ht="135.75" customHeight="1" s="31">
      <c r="A32" s="2" t="n">
        <v>24</v>
      </c>
      <c r="B32" s="3" t="inlineStr">
        <is>
          <t>Updated trimester curriculum — sample schedule (Trimesters 1, 2 and 3), BSAIS</t>
        </is>
      </c>
      <c r="C32" s="3" t="inlineStr">
        <is>
          <t>Checklist item 9.2</t>
        </is>
      </c>
      <c r="D32" s="3" t="inlineStr">
        <is>
          <t>Vice Dean Ken Gie Anthony G. Cruel</t>
        </is>
      </c>
      <c r="E32" s="3" t="inlineStr">
        <is>
          <t>Vice Dean Ken Gie Anthony G. Cruel (compliance audit); MIS Head Jayson R. Francisco (repository)</t>
        </is>
      </c>
      <c r="F32" s="4" t="n">
        <v>46304</v>
      </c>
      <c r="G32" s="5" t="inlineStr">
        <is>
          <t>For review</t>
        </is>
      </c>
      <c r="H32" s="6" t="n">
        <v>1</v>
      </c>
      <c r="I32" s="7" t="inlineStr">
        <is>
          <t>21 Sep 2026: PROPOSED SCHEDULE OF CLASSES built for First Year - Trimester 1, 2 and 3 (BSA and BSAIS share one First Year section, 1-BSA-A / 1-BSAIS-A), with the matching PROPOSED FACULTY LOADING. Each trimester carries 31 contact hours a week and 23 units, Monday to Thursday only; Friday is kept free for consultation, make-up classes and student activities. A 3-unit course meets 4 hours a week (2 x 2-hour meetings, MW or TTH), which gives the settled 56 hours over 14 weeks, examination weeks included. Signatories: prepared by the Program Chair, reviewed by the College Dean, approved by the VPAA. Files: BSA &amp; BSAIS Outputs/Sample Schedule/Proposed Schedule of Classes - First Year, Trimesters 1-3 (BSA-BSAIS) and BSA &amp; BSAIS Outputs/Faculty Matrix &amp; Loading/Proposed Faculty Loading - First Year, Trimesters 1-3 (BSA-BSAIS), Word and PDF. NOT YET BUILT: Second Year and Third Year schedules — raise with the Vice Dean if CHED expects all nine trimesters rather than one year's Trimesters 1, 2 and 3. Rooms are provisional (ML 401 for lecture, ML 211 for PATH-FIT).</t>
        </is>
      </c>
    </row>
    <row r="33" ht="124.5" customHeight="1" s="31">
      <c r="A33" s="2" t="n">
        <v>25</v>
      </c>
      <c r="B33" s="3" t="inlineStr">
        <is>
          <t>Curriculum — course descriptions, BSAIS</t>
        </is>
      </c>
      <c r="C33" s="3" t="inlineStr">
        <is>
          <t>Checklist item 7.3</t>
        </is>
      </c>
      <c r="D33" s="3" t="inlineStr">
        <is>
          <t>Vice Dean Ken Gie Anthony G. Cruel</t>
        </is>
      </c>
      <c r="E33" s="3" t="inlineStr">
        <is>
          <t>Vice Dean Ken Gie Anthony G. Cruel (compliance audit); MIS Head Jayson R. Francisco (repository); General Education Syllabi Pool (20 shared GE, PATH-FIT, NSTP and CLE courses, written once for all 8 programs); Business Cluster Pool (shared business, economics and law courses); Course teachers named in the Proposed Faculty Loading, First Year Trimesters 1–3 — J.R. Francisco, CPA; J.R. Empay, CPA; D.N. Santiago, CPA; R. Cruz, CPA (professional courses), each writing the description and syllabus for the courses that loading gives them; M. Germino, N. Tolosa, S.M. Calma, L. Ramos, M. Mequiabas, X. Villamayor, F. Ilag, J. Jamlang (GE, PATH-FIT, NSTP and CLE). Still no full-time faculty besides the Chair — see Open Item 9</t>
        </is>
      </c>
      <c r="F33" s="4" t="n">
        <v>46304</v>
      </c>
      <c r="G33" s="5" t="inlineStr">
        <is>
          <t>For review</t>
        </is>
      </c>
      <c r="H33" s="6" t="n">
        <v>1</v>
      </c>
      <c r="I33" s="7" t="inlineStr">
        <is>
          <t>Awaiting the curriculum template. CAPACITY RISK: the programme-specialised courses here have no full-time author other than the Chair.</t>
        </is>
      </c>
    </row>
    <row r="34" ht="124.5" customHeight="1" s="31">
      <c r="A34" s="2" t="n">
        <v>26</v>
      </c>
      <c r="B34" s="3" t="inlineStr">
        <is>
          <t>Curriculum — course syllabi (outcomes-based), BSAIS</t>
        </is>
      </c>
      <c r="C34" s="3" t="inlineStr">
        <is>
          <t>Checklist item 7.4</t>
        </is>
      </c>
      <c r="D34" s="3" t="inlineStr">
        <is>
          <t>Vice Dean Ken Gie Anthony G. Cruel</t>
        </is>
      </c>
      <c r="E34" s="3" t="inlineStr">
        <is>
          <t>Vice Dean Ken Gie Anthony G. Cruel (compliance audit); MIS Head Jayson R. Francisco (repository); General Education Syllabi Pool (20 shared GE, PATH-FIT, NSTP and CLE courses, written once for all 8 programs); Business Cluster Pool (shared business, economics and law courses); Course teachers named in the Proposed Faculty Loading, First Year Trimesters 1–3 — J.R. Francisco, CPA; J.R. Empay, CPA; D.N. Santiago, CPA; R. Cruz, CPA (professional courses), each writing the description and syllabus for the courses that loading gives them; M. Germino, N. Tolosa, S.M. Calma, L. Ramos, M. Mequiabas, X. Villamayor, F. Ilag, J. Jamlang (GE, PATH-FIT, NSTP and CLE). Still no full-time faculty besides the Chair — see Open Item 9</t>
        </is>
      </c>
      <c r="F34" s="4" t="n">
        <v>46311</v>
      </c>
      <c r="G34" s="5" t="inlineStr">
        <is>
          <t>For review</t>
        </is>
      </c>
      <c r="H34" s="6" t="n">
        <v>1</v>
      </c>
      <c r="I34" s="7" t="inlineStr">
        <is>
          <t>ASSESSMENT SCHEME confirmed by the Vice Dean, 3 Sep 2026: two examinations per term (midterm and final), one required monthly assessment, plus regular quizzes and activities. Every syllabus must carry this scheme. CAPACITY RISK: the programme-specialised courses here have no full-time author other than the Chair. 26 Oct 2026: all BSAIS course syllabi drafted on the OBE template (14-week / 56-hour basis, midterm Week 7, final Week 14) in BSA &amp; BSAIS Outputs/Sample Syllabus/Drafts for Review; references left blank; subject-expert review pending. AE7-INT 400-hour deployment still to be confirmed. 26 Oct 2026: the syllabus drafts now carry the course teacher. Prepared by / Subject Instructor on each of the 24 First Year courses is the faculty member the Proposed Faculty Loading assigns to it — 20 changed from the Vice Dean, 4 were already right. Reviewed by (Chair), Recommended by (Vice Dean) and Approved by (Dean) are unchanged. The 51 Second and Third Year syllabi still read Vice Dean as instructor, because no loading has been drawn for those years yet.</t>
        </is>
      </c>
    </row>
    <row r="35" ht="68.75" customHeight="1" s="31">
      <c r="A35" s="2" t="n">
        <v>27</v>
      </c>
      <c r="B35" s="3" t="inlineStr">
        <is>
          <t>Curriculum — distribution of courses per trimester (9-term prospectus), BSBA</t>
        </is>
      </c>
      <c r="C35" s="3" t="inlineStr">
        <is>
          <t>Checklist item 7.1</t>
        </is>
      </c>
      <c r="D35" s="3" t="inlineStr">
        <is>
          <t>Program Chair Ranilo S. Castillo II</t>
        </is>
      </c>
      <c r="E35" s="3" t="inlineStr">
        <is>
          <t>Vice Dean Ken Gie Anthony G. Cruel (compliance audit); MIS Head Jayson R. Francisco (repository)</t>
        </is>
      </c>
      <c r="F35" s="4" t="n">
        <v>46290</v>
      </c>
      <c r="G35" s="5" t="inlineStr">
        <is>
          <t>For review</t>
        </is>
      </c>
      <c r="H35" s="6" t="n">
        <v>1</v>
      </c>
      <c r="I35" s="7" t="inlineStr">
        <is>
          <t>Draft 9-trimester prospectus under preparation by the Programme Chair. The BSCRIM submission is the working template — see the Reference sheet for its required structure. TERM LENGTH DECIDED, 9 Sep 2026: 14 weeks per trimester, by the Council of Programme Chairs. The contact-hour standard moves with it from 54 to 56 hours per 3-unit subject, so a 3-unit subject runs 240 minutes a week and divides into whole periods (2 x 120, 3 x 80 or 4 x 60 minutes). MEETING DATE AND RESOLUTION NUMBER STILL TO BE SUPPLIED for the dossier.</t>
        </is>
      </c>
    </row>
    <row r="36" ht="57.5" customHeight="1" s="31">
      <c r="A36" s="2" t="n">
        <v>28</v>
      </c>
      <c r="B36" s="3" t="inlineStr">
        <is>
          <t>Curriculum — summary of units, BSBA</t>
        </is>
      </c>
      <c r="C36" s="3" t="inlineStr">
        <is>
          <t>Checklist item 7.2</t>
        </is>
      </c>
      <c r="D36" s="3" t="inlineStr">
        <is>
          <t>Program Chair Ranilo S. Castillo II</t>
        </is>
      </c>
      <c r="E36" s="3" t="inlineStr">
        <is>
          <t>Vice Dean Ken Gie Anthony G. Cruel (compliance audit); MIS Head Jayson R. Francisco (repository)</t>
        </is>
      </c>
      <c r="F36" s="4" t="n">
        <v>46295</v>
      </c>
      <c r="G36" s="5" t="inlineStr">
        <is>
          <t>For review</t>
        </is>
      </c>
      <c r="H36" s="6" t="n">
        <v>1</v>
      </c>
      <c r="I36" s="7" t="inlineStr">
        <is>
          <t>Unit summary being computed from the draft prospectus. Use the BSCRIM summary table format: units by category code, then total. TERM LENGTH DECIDED, 9 Sep 2026: 14 weeks per trimester, by the Council of Programme Chairs. The contact-hour standard moves with it from 54 to 56 hours per 3-unit subject, so a 3-unit subject runs 240 minutes a week and divides into whole periods (2 x 120, 3 x 80 or 4 x 60 minutes). MEETING DATE AND RESOLUTION NUMBER STILL TO BE SUPPLIED for the dossier.</t>
        </is>
      </c>
    </row>
    <row r="37" ht="35" customHeight="1" s="31">
      <c r="A37" s="2" t="n">
        <v>29</v>
      </c>
      <c r="B37" s="3" t="inlineStr">
        <is>
          <t>Updated trimester curriculum — list of subjects with GE and Specialized identified, BSBA</t>
        </is>
      </c>
      <c r="C37" s="3" t="inlineStr">
        <is>
          <t>Checklist item 9.1</t>
        </is>
      </c>
      <c r="D37" s="3" t="inlineStr">
        <is>
          <t>Program Chair Ranilo S. Castillo II</t>
        </is>
      </c>
      <c r="E37" s="3" t="inlineStr">
        <is>
          <t>Vice Dean Ken Gie Anthony G. Cruel (compliance audit); MIS Head Jayson R. Francisco (repository)</t>
        </is>
      </c>
      <c r="F37" s="4" t="n">
        <v>46295</v>
      </c>
      <c r="G37" s="5" t="inlineStr">
        <is>
          <t>For review</t>
        </is>
      </c>
      <c r="H37" s="6" t="n">
        <v>1</v>
      </c>
      <c r="I37" s="7" t="inlineStr">
        <is>
          <t>General education courses are identifiable by code in the draft prospectus; the formal GE versus Specialised tagging sheet is still to be produced.</t>
        </is>
      </c>
    </row>
    <row r="38" ht="135.75" customHeight="1" s="31">
      <c r="A38" s="2" t="n">
        <v>30</v>
      </c>
      <c r="B38" s="3" t="inlineStr">
        <is>
          <t>Updated trimester curriculum — sample schedule (Trimesters 1, 2 and 3), BSBA</t>
        </is>
      </c>
      <c r="C38" s="3" t="inlineStr">
        <is>
          <t>Checklist item 9.2</t>
        </is>
      </c>
      <c r="D38" s="3" t="inlineStr">
        <is>
          <t>Program Chair Ranilo S. Castillo II</t>
        </is>
      </c>
      <c r="E38" s="3" t="inlineStr">
        <is>
          <t>Vice Dean Ken Gie Anthony G. Cruel (compliance audit); MIS Head Jayson R. Francisco (repository)</t>
        </is>
      </c>
      <c r="F38" s="4" t="n">
        <v>46304</v>
      </c>
      <c r="G38" s="5" t="inlineStr">
        <is>
          <t>Not started</t>
        </is>
      </c>
      <c r="H38" s="6" t="n">
        <v>0</v>
      </c>
      <c r="I38" s="7" t="inlineStr">
        <is>
          <t>The 14-week term and the 56-hour contact-hour standard are settled, so this grid can now be built. A 3-unit subject runs 240 minutes a week, which divides into 2 x 120, 3 x 80 or 4 x 60 minute periods. The grid must leave room for two examinations (midterm and final) and one monthly assessment per term. CALENDAR CONFLICT: the proposed AY 2027-2028 academic calendar was drawn on three terms of FIFTEEN academic weeks and must be redrawn to 14 before any grid is finalised — this also moves the enrolment, grade-processing and graduation dates. DAILY LOAD at 56 hours over four teaching days: 8.00 hours on a 24-unit term, 7.67 on 23 units, and 8.33 on the two 25-unit trimesters in BSCRIM (see item 45). TERM LENGTH DECIDED, 9 Sep 2026: 14 weeks per trimester, by the Council of Programme Chairs. The contact-hour standard moves with it from 54 to 56 hours per 3-unit subject, so a 3-unit subject runs 240 minutes a week and divides into whole periods (2 x 120, 3 x 80 or 4 x 60 minutes). MEETING DATE AND RESOLUTION NUMBER STILL TO BE SUPPLIED for the dossier.</t>
        </is>
      </c>
    </row>
    <row r="39" ht="113.5" customHeight="1" s="31">
      <c r="A39" s="2" t="n">
        <v>31</v>
      </c>
      <c r="B39" s="3" t="inlineStr">
        <is>
          <t>Curriculum — course descriptions, BSBA</t>
        </is>
      </c>
      <c r="C39" s="3" t="inlineStr">
        <is>
          <t>Checklist item 7.3</t>
        </is>
      </c>
      <c r="D39" s="3" t="inlineStr">
        <is>
          <t>Program Chair Ranilo S. Castillo II</t>
        </is>
      </c>
      <c r="E39" s="3" t="inlineStr">
        <is>
          <t>Vice Dean Ken Gie Anthony G. Cruel (compliance audit); MIS Head Jayson R. Francisco (repository); General Education Syllabi Pool (20 shared GE, PATH-FIT, NSTP and CLE courses, written once for all 8 programs); Business Cluster Pool (shared business, economics and law courses); 4 full-time BSBA faculty</t>
        </is>
      </c>
      <c r="F39" s="4" t="n">
        <v>46304</v>
      </c>
      <c r="G39" s="5" t="inlineStr">
        <is>
          <t>For review</t>
        </is>
      </c>
      <c r="H39" s="6" t="n">
        <v>1</v>
      </c>
      <c r="I39" s="7" t="inlineStr">
        <is>
          <t>Awaiting the curriculum template.</t>
        </is>
      </c>
    </row>
    <row r="40" ht="113.5" customHeight="1" s="31">
      <c r="A40" s="2" t="n">
        <v>32</v>
      </c>
      <c r="B40" s="3" t="inlineStr">
        <is>
          <t>Curriculum — course syllabi (outcomes-based), BSBA</t>
        </is>
      </c>
      <c r="C40" s="3" t="inlineStr">
        <is>
          <t>Checklist item 7.4</t>
        </is>
      </c>
      <c r="D40" s="3" t="inlineStr">
        <is>
          <t>Program Chair Ranilo S. Castillo II</t>
        </is>
      </c>
      <c r="E40" s="3" t="inlineStr">
        <is>
          <t>Vice Dean Ken Gie Anthony G. Cruel (compliance audit); MIS Head Jayson R. Francisco (repository); General Education Syllabi Pool (20 shared GE, PATH-FIT, NSTP and CLE courses, written once for all 8 programs); Business Cluster Pool (shared business, economics and law courses); 4 full-time BSBA faculty</t>
        </is>
      </c>
      <c r="F40" s="4" t="n">
        <v>46311</v>
      </c>
      <c r="G40" s="5" t="inlineStr">
        <is>
          <t>In progress</t>
        </is>
      </c>
      <c r="H40" s="6" t="n">
        <v>0</v>
      </c>
      <c r="I40" s="7" t="inlineStr">
        <is>
          <t>ASSESSMENT SCHEME confirmed by the Vice Dean, 3 Sep 2026: two examinations per term (midterm and final), one required monthly assessment, plus regular quizzes and activities. Every syllabus must carry this scheme.</t>
        </is>
      </c>
    </row>
    <row r="41" ht="68.75" customHeight="1" s="31">
      <c r="A41" s="2" t="n">
        <v>33</v>
      </c>
      <c r="B41" s="3" t="inlineStr">
        <is>
          <t>Curriculum — distribution of courses per trimester (9-term prospectus), BSCS</t>
        </is>
      </c>
      <c r="C41" s="3" t="inlineStr">
        <is>
          <t>Checklist item 7.1</t>
        </is>
      </c>
      <c r="D41" s="3" t="inlineStr">
        <is>
          <t>Program Chair John Philip N. Diamat</t>
        </is>
      </c>
      <c r="E41" s="3" t="inlineStr">
        <is>
          <t>Vice Dean Ken Gie Anthony G. Cruel (compliance audit); MIS Head Jayson R. Francisco (repository)</t>
        </is>
      </c>
      <c r="F41" s="4" t="n">
        <v>46290</v>
      </c>
      <c r="G41" s="5" t="inlineStr">
        <is>
          <t>For review</t>
        </is>
      </c>
      <c r="H41" s="6" t="n">
        <v>1</v>
      </c>
      <c r="I41" s="7" t="inlineStr">
        <is>
          <t>Draft 9-trimester prospectus under preparation by the Programme Chair. The BSCRIM submission is the working template — see the Reference sheet for its required structure. TERM LENGTH DECIDED, 9 Sep 2026: 14 weeks per trimester, by the Council of Programme Chairs. The contact-hour standard moves with it from 54 to 56 hours per 3-unit subject, so a 3-unit subject runs 240 minutes a week and divides into whole periods (2 x 120, 3 x 80 or 4 x 60 minutes). MEETING DATE AND RESOLUTION NUMBER STILL TO BE SUPPLIED for the dossier.</t>
        </is>
      </c>
    </row>
    <row r="42" ht="57.5" customHeight="1" s="31">
      <c r="A42" s="2" t="n">
        <v>34</v>
      </c>
      <c r="B42" s="3" t="inlineStr">
        <is>
          <t>Curriculum — summary of units, BSCS</t>
        </is>
      </c>
      <c r="C42" s="3" t="inlineStr">
        <is>
          <t>Checklist item 7.2</t>
        </is>
      </c>
      <c r="D42" s="3" t="inlineStr">
        <is>
          <t>Program Chair John Philip N. Diamat</t>
        </is>
      </c>
      <c r="E42" s="3" t="inlineStr">
        <is>
          <t>Vice Dean Ken Gie Anthony G. Cruel (compliance audit); MIS Head Jayson R. Francisco (repository)</t>
        </is>
      </c>
      <c r="F42" s="4" t="n">
        <v>46295</v>
      </c>
      <c r="G42" s="5" t="inlineStr">
        <is>
          <t>For review</t>
        </is>
      </c>
      <c r="H42" s="6" t="n">
        <v>1</v>
      </c>
      <c r="I42" s="7" t="inlineStr">
        <is>
          <t>Unit summary being computed from the draft prospectus. Use the BSCRIM summary table format: units by category code, then total. TERM LENGTH DECIDED, 9 Sep 2026: 14 weeks per trimester, by the Council of Programme Chairs. The contact-hour standard moves with it from 54 to 56 hours per 3-unit subject, so a 3-unit subject runs 240 minutes a week and divides into whole periods (2 x 120, 3 x 80 or 4 x 60 minutes). MEETING DATE AND RESOLUTION NUMBER STILL TO BE SUPPLIED for the dossier.</t>
        </is>
      </c>
    </row>
    <row r="43" ht="35" customHeight="1" s="31">
      <c r="A43" s="2" t="n">
        <v>35</v>
      </c>
      <c r="B43" s="3" t="inlineStr">
        <is>
          <t>Updated trimester curriculum — list of subjects with GE and Specialized identified, BSCS</t>
        </is>
      </c>
      <c r="C43" s="3" t="inlineStr">
        <is>
          <t>Checklist item 9.1</t>
        </is>
      </c>
      <c r="D43" s="3" t="inlineStr">
        <is>
          <t>Program Chair John Philip N. Diamat</t>
        </is>
      </c>
      <c r="E43" s="3" t="inlineStr">
        <is>
          <t>Vice Dean Ken Gie Anthony G. Cruel (compliance audit); MIS Head Jayson R. Francisco (repository)</t>
        </is>
      </c>
      <c r="F43" s="4" t="n">
        <v>46295</v>
      </c>
      <c r="G43" s="5" t="inlineStr">
        <is>
          <t>For review</t>
        </is>
      </c>
      <c r="H43" s="6" t="n">
        <v>1</v>
      </c>
      <c r="I43" s="7" t="inlineStr">
        <is>
          <t>General education courses are identifiable by code in the draft prospectus; the formal GE versus Specialised tagging sheet is still to be produced.</t>
        </is>
      </c>
    </row>
    <row r="44" ht="135.75" customHeight="1" s="31">
      <c r="A44" s="2" t="n">
        <v>36</v>
      </c>
      <c r="B44" s="3" t="inlineStr">
        <is>
          <t>Updated trimester curriculum — sample schedule (Trimesters 1, 2 and 3), BSCS</t>
        </is>
      </c>
      <c r="C44" s="3" t="inlineStr">
        <is>
          <t>Checklist item 9.2</t>
        </is>
      </c>
      <c r="D44" s="3" t="inlineStr">
        <is>
          <t>Program Chair John Philip N. Diamat</t>
        </is>
      </c>
      <c r="E44" s="3" t="inlineStr">
        <is>
          <t>Vice Dean Ken Gie Anthony G. Cruel (compliance audit); MIS Head Jayson R. Francisco (repository)</t>
        </is>
      </c>
      <c r="F44" s="4" t="n">
        <v>46304</v>
      </c>
      <c r="G44" s="5" t="inlineStr">
        <is>
          <t>Not started</t>
        </is>
      </c>
      <c r="H44" s="6" t="n">
        <v>0</v>
      </c>
      <c r="I44" s="7" t="inlineStr">
        <is>
          <t>The 14-week term and the 56-hour contact-hour standard are settled, so this grid can now be built. A 3-unit subject runs 240 minutes a week, which divides into 2 x 120, 3 x 80 or 4 x 60 minute periods. The grid must leave room for two examinations (midterm and final) and one monthly assessment per term. CALENDAR CONFLICT: the proposed AY 2027-2028 academic calendar was drawn on three terms of FIFTEEN academic weeks and must be redrawn to 14 before any grid is finalised — this also moves the enrolment, grade-processing and graduation dates. DAILY LOAD at 56 hours over four teaching days: 8.00 hours on a 24-unit term, 7.67 on 23 units, and 8.33 on the two 25-unit trimesters in BSCRIM (see item 45). TERM LENGTH DECIDED, 9 Sep 2026: 14 weeks per trimester, by the Council of Programme Chairs. The contact-hour standard moves with it from 54 to 56 hours per 3-unit subject, so a 3-unit subject runs 240 minutes a week and divides into whole periods (2 x 120, 3 x 80 or 4 x 60 minutes). MEETING DATE AND RESOLUTION NUMBER STILL TO BE SUPPLIED for the dossier.</t>
        </is>
      </c>
    </row>
    <row r="45" ht="79.75" customHeight="1" s="31">
      <c r="A45" s="2" t="n">
        <v>37</v>
      </c>
      <c r="B45" s="3" t="inlineStr">
        <is>
          <t>Curriculum — course descriptions, BSCS</t>
        </is>
      </c>
      <c r="C45" s="3" t="inlineStr">
        <is>
          <t>Checklist item 7.3</t>
        </is>
      </c>
      <c r="D45" s="3" t="inlineStr">
        <is>
          <t>Program Chair John Philip N. Diamat</t>
        </is>
      </c>
      <c r="E45" s="3" t="inlineStr">
        <is>
          <t>Vice Dean Ken Gie Anthony G. Cruel (compliance audit); MIS Head Jayson R. Francisco (repository); General Education Syllabi Pool (20 shared GE, PATH-FIT, NSTP and CLE courses, written once for all 8 programs); 1 full-time BSCS faculty</t>
        </is>
      </c>
      <c r="F45" s="4" t="n">
        <v>46304</v>
      </c>
      <c r="G45" s="5" t="inlineStr">
        <is>
          <t>For review</t>
        </is>
      </c>
      <c r="H45" s="6" t="n">
        <v>1</v>
      </c>
      <c r="I45" s="7" t="inlineStr">
        <is>
          <t>Awaiting the curriculum template.</t>
        </is>
      </c>
    </row>
    <row r="46" ht="79.75" customHeight="1" s="31">
      <c r="A46" s="2" t="n">
        <v>38</v>
      </c>
      <c r="B46" s="3" t="inlineStr">
        <is>
          <t>Curriculum — course syllabi (outcomes-based), BSCS</t>
        </is>
      </c>
      <c r="C46" s="3" t="inlineStr">
        <is>
          <t>Checklist item 7.4</t>
        </is>
      </c>
      <c r="D46" s="3" t="inlineStr">
        <is>
          <t>Program Chair John Philip N. Diamat</t>
        </is>
      </c>
      <c r="E46" s="3" t="inlineStr">
        <is>
          <t>Vice Dean Ken Gie Anthony G. Cruel (compliance audit); MIS Head Jayson R. Francisco (repository); General Education Syllabi Pool (20 shared GE, PATH-FIT, NSTP and CLE courses, written once for all 8 programs); 1 full-time BSCS faculty</t>
        </is>
      </c>
      <c r="F46" s="4" t="n">
        <v>46311</v>
      </c>
      <c r="G46" s="5" t="inlineStr">
        <is>
          <t>In progress</t>
        </is>
      </c>
      <c r="H46" s="6" t="n">
        <v>0</v>
      </c>
      <c r="I46" s="7" t="inlineStr">
        <is>
          <t>ASSESSMENT SCHEME confirmed by the Vice Dean, 3 Sep 2026: two examinations per term (midterm and final), one required monthly assessment, plus regular quizzes and activities. Every syllabus must carry this scheme.</t>
        </is>
      </c>
    </row>
    <row r="47" ht="68.75" customHeight="1" s="31">
      <c r="A47" s="2" t="n">
        <v>39</v>
      </c>
      <c r="B47" s="3" t="inlineStr">
        <is>
          <t>Curriculum — distribution of courses per trimester (9-term prospectus), BSHM</t>
        </is>
      </c>
      <c r="C47" s="3" t="inlineStr">
        <is>
          <t>Checklist item 7.1</t>
        </is>
      </c>
      <c r="D47" s="3" t="inlineStr">
        <is>
          <t>Program Chair Stephanie S. Ciasico</t>
        </is>
      </c>
      <c r="E47" s="3" t="inlineStr">
        <is>
          <t>Vice Dean Ken Gie Anthony G. Cruel (compliance audit); MIS Head Jayson R. Francisco (repository)</t>
        </is>
      </c>
      <c r="F47" s="4" t="n">
        <v>46290</v>
      </c>
      <c r="G47" s="5" t="inlineStr">
        <is>
          <t>For review</t>
        </is>
      </c>
      <c r="H47" s="6" t="n">
        <v>1</v>
      </c>
      <c r="I47" s="7" t="inlineStr">
        <is>
          <t>Draft 9-trimester prospectus under preparation by the Programme Chair. The BSCRIM submission is the working template — see the Reference sheet for its required structure. TERM LENGTH DECIDED, 9 Sep 2026: 14 weeks per trimester, by the Council of Programme Chairs. The contact-hour standard moves with it from 54 to 56 hours per 3-unit subject, so a 3-unit subject runs 240 minutes a week and divides into whole periods (2 x 120, 3 x 80 or 4 x 60 minutes). MEETING DATE AND RESOLUTION NUMBER STILL TO BE SUPPLIED for the dossier.</t>
        </is>
      </c>
    </row>
    <row r="48" ht="57.5" customHeight="1" s="31">
      <c r="A48" s="2" t="n">
        <v>40</v>
      </c>
      <c r="B48" s="3" t="inlineStr">
        <is>
          <t>Curriculum — summary of units, BSHM</t>
        </is>
      </c>
      <c r="C48" s="3" t="inlineStr">
        <is>
          <t>Checklist item 7.2</t>
        </is>
      </c>
      <c r="D48" s="3" t="inlineStr">
        <is>
          <t>Program Chair Stephanie S. Ciasico</t>
        </is>
      </c>
      <c r="E48" s="3" t="inlineStr">
        <is>
          <t>Vice Dean Ken Gie Anthony G. Cruel (compliance audit); MIS Head Jayson R. Francisco (repository)</t>
        </is>
      </c>
      <c r="F48" s="4" t="n">
        <v>46295</v>
      </c>
      <c r="G48" s="5" t="inlineStr">
        <is>
          <t>For review</t>
        </is>
      </c>
      <c r="H48" s="6" t="n">
        <v>1</v>
      </c>
      <c r="I48" s="7" t="inlineStr">
        <is>
          <t>Unit summary being computed from the draft prospectus. Use the BSCRIM summary table format: units by category code, then total. TERM LENGTH DECIDED, 9 Sep 2026: 14 weeks per trimester, by the Council of Programme Chairs. The contact-hour standard moves with it from 54 to 56 hours per 3-unit subject, so a 3-unit subject runs 240 minutes a week and divides into whole periods (2 x 120, 3 x 80 or 4 x 60 minutes). MEETING DATE AND RESOLUTION NUMBER STILL TO BE SUPPLIED for the dossier.</t>
        </is>
      </c>
    </row>
    <row r="49" ht="35" customHeight="1" s="31">
      <c r="A49" s="2" t="n">
        <v>41</v>
      </c>
      <c r="B49" s="3" t="inlineStr">
        <is>
          <t>Updated trimester curriculum — list of subjects with GE and Specialized identified, BSHM</t>
        </is>
      </c>
      <c r="C49" s="3" t="inlineStr">
        <is>
          <t>Checklist item 9.1</t>
        </is>
      </c>
      <c r="D49" s="3" t="inlineStr">
        <is>
          <t>Program Chair Stephanie S. Ciasico</t>
        </is>
      </c>
      <c r="E49" s="3" t="inlineStr">
        <is>
          <t>Vice Dean Ken Gie Anthony G. Cruel (compliance audit); MIS Head Jayson R. Francisco (repository)</t>
        </is>
      </c>
      <c r="F49" s="4" t="n">
        <v>46295</v>
      </c>
      <c r="G49" s="5" t="inlineStr">
        <is>
          <t>For review</t>
        </is>
      </c>
      <c r="H49" s="6" t="n">
        <v>1</v>
      </c>
      <c r="I49" s="7" t="inlineStr">
        <is>
          <t>General education courses are identifiable by code in the draft prospectus; the formal GE versus Specialised tagging sheet is still to be produced.</t>
        </is>
      </c>
    </row>
    <row r="50" ht="135.75" customHeight="1" s="31">
      <c r="A50" s="2" t="n">
        <v>42</v>
      </c>
      <c r="B50" s="3" t="inlineStr">
        <is>
          <t>Updated trimester curriculum — sample schedule (Trimesters 1, 2 and 3), BSHM</t>
        </is>
      </c>
      <c r="C50" s="3" t="inlineStr">
        <is>
          <t>Checklist item 9.2</t>
        </is>
      </c>
      <c r="D50" s="3" t="inlineStr">
        <is>
          <t>Program Chair Stephanie S. Ciasico</t>
        </is>
      </c>
      <c r="E50" s="3" t="inlineStr">
        <is>
          <t>Vice Dean Ken Gie Anthony G. Cruel (compliance audit); MIS Head Jayson R. Francisco (repository)</t>
        </is>
      </c>
      <c r="F50" s="4" t="n">
        <v>46304</v>
      </c>
      <c r="G50" s="5" t="inlineStr">
        <is>
          <t>Not started</t>
        </is>
      </c>
      <c r="H50" s="6" t="n">
        <v>0</v>
      </c>
      <c r="I50" s="7" t="inlineStr">
        <is>
          <t>The 14-week term and the 56-hour contact-hour standard are settled, so this grid can now be built. A 3-unit subject runs 240 minutes a week, which divides into 2 x 120, 3 x 80 or 4 x 60 minute periods. The grid must leave room for two examinations (midterm and final) and one monthly assessment per term. CALENDAR CONFLICT: the proposed AY 2027-2028 academic calendar was drawn on three terms of FIFTEEN academic weeks and must be redrawn to 14 before any grid is finalised — this also moves the enrolment, grade-processing and graduation dates. DAILY LOAD at 56 hours over four teaching days: 8.00 hours on a 24-unit term, 7.67 on 23 units, and 8.33 on the two 25-unit trimesters in BSCRIM (see item 45). TERM LENGTH DECIDED, 9 Sep 2026: 14 weeks per trimester, by the Council of Programme Chairs. The contact-hour standard moves with it from 54 to 56 hours per 3-unit subject, so a 3-unit subject runs 240 minutes a week and divides into whole periods (2 x 120, 3 x 80 or 4 x 60 minutes). MEETING DATE AND RESOLUTION NUMBER STILL TO BE SUPPLIED for the dossier.</t>
        </is>
      </c>
    </row>
    <row r="51" ht="113.5" customHeight="1" s="31">
      <c r="A51" s="2" t="n">
        <v>43</v>
      </c>
      <c r="B51" s="3" t="inlineStr">
        <is>
          <t>Curriculum — course descriptions, BSHM</t>
        </is>
      </c>
      <c r="C51" s="3" t="inlineStr">
        <is>
          <t>Checklist item 7.3</t>
        </is>
      </c>
      <c r="D51" s="3" t="inlineStr">
        <is>
          <t>Program Chair Stephanie S. Ciasico</t>
        </is>
      </c>
      <c r="E51" s="3" t="inlineStr">
        <is>
          <t>Vice Dean Ken Gie Anthony G. Cruel (compliance audit); MIS Head Jayson R. Francisco (repository); General Education Syllabi Pool (20 shared GE, PATH-FIT, NSTP and CLE courses, written once for all 8 programs); Business Cluster Pool (shared business, economics and law courses); 3 full-time BSHM faculty</t>
        </is>
      </c>
      <c r="F51" s="4" t="n">
        <v>46304</v>
      </c>
      <c r="G51" s="5" t="inlineStr">
        <is>
          <t>For review</t>
        </is>
      </c>
      <c r="H51" s="6" t="n">
        <v>1</v>
      </c>
      <c r="I51" s="7" t="inlineStr">
        <is>
          <t>Awaiting the curriculum template.</t>
        </is>
      </c>
    </row>
    <row r="52" ht="113.5" customHeight="1" s="31">
      <c r="A52" s="2" t="n">
        <v>44</v>
      </c>
      <c r="B52" s="3" t="inlineStr">
        <is>
          <t>Curriculum — course syllabi (outcomes-based), BSHM</t>
        </is>
      </c>
      <c r="C52" s="3" t="inlineStr">
        <is>
          <t>Checklist item 7.4</t>
        </is>
      </c>
      <c r="D52" s="3" t="inlineStr">
        <is>
          <t>Program Chair Stephanie S. Ciasico</t>
        </is>
      </c>
      <c r="E52" s="3" t="inlineStr">
        <is>
          <t>Vice Dean Ken Gie Anthony G. Cruel (compliance audit); MIS Head Jayson R. Francisco (repository); General Education Syllabi Pool (20 shared GE, PATH-FIT, NSTP and CLE courses, written once for all 8 programs); Business Cluster Pool (shared business, economics and law courses); 3 full-time BSHM faculty</t>
        </is>
      </c>
      <c r="F52" s="4" t="n">
        <v>46311</v>
      </c>
      <c r="G52" s="5" t="inlineStr">
        <is>
          <t>In progress</t>
        </is>
      </c>
      <c r="H52" s="6" t="n">
        <v>0</v>
      </c>
      <c r="I52" s="7" t="inlineStr">
        <is>
          <t>ASSESSMENT SCHEME confirmed by the Vice Dean, 3 Sep 2026: two examinations per term (midterm and final), one required monthly assessment, plus regular quizzes and activities. Every syllabus must carry this scheme.</t>
        </is>
      </c>
    </row>
    <row r="53" ht="191.75" customHeight="1" s="31">
      <c r="A53" s="2" t="n">
        <v>45</v>
      </c>
      <c r="B53" s="3" t="inlineStr">
        <is>
          <t>Curriculum — distribution of courses per trimester (9-term prospectus), BSCRIM</t>
        </is>
      </c>
      <c r="C53" s="3" t="inlineStr">
        <is>
          <t>Checklist item 7.1</t>
        </is>
      </c>
      <c r="D53" s="3" t="inlineStr">
        <is>
          <t>Program Chair Samantha Rose C. Pisto</t>
        </is>
      </c>
      <c r="E53" s="3" t="inlineStr">
        <is>
          <t>Vice Dean Ken Gie Anthony G. Cruel (compliance audit); MIS Head Jayson R. Francisco (repository)</t>
        </is>
      </c>
      <c r="F53" s="4" t="n">
        <v>46290</v>
      </c>
      <c r="G53" s="5" t="inlineStr">
        <is>
          <t>For review</t>
        </is>
      </c>
      <c r="H53" s="6" t="n">
        <v>1</v>
      </c>
      <c r="I53" s="7" t="inlineStr">
        <is>
          <t>Complete 9-trimester prospectus submitted on the agreed template — 192 total units, citing CMO 05 s.2018 and CMO 20 s.2013. FIVE DEFECTS FOUND ON REVIEW, all for the Programme Chair to resolve: (1) PCES-CRC Professional Conduct &amp; Ethical Standard appears twice, in Trimesters 2 and 3; (2) RES1-CRC Criminological Research 1 appears twice, in Trimesters 6 and 7; (3) PCJS-CLJ is named as a prerequisite by four courses — HRE-CLJ, JDJS-CRC, INST-COR and DRIM-CRC — but is never offered in any of the nine trimesters; (4) TOXI-FRC lists CHEM-GEE as its prerequisite but the course offered in Trimester 3 is coded CHEM-GEC; (5) Trimesters 4 and 5 carry 25 units each, which at the 56-hour standard is 466.7 hours, or 8.33 teaching hours a day over four days. TERM LENGTH DECIDED, 9 Sep 2026: 14 weeks per trimester, by the Council of Programme Chairs. The contact-hour standard moves with it from 54 to 56 hours per 3-unit subject, so a 3-unit subject runs 240 minutes a week and divides into whole periods (2 x 120, 3 x 80 or 4 x 60 minutes). MEETING DATE AND RESOLUTION NUMBER STILL TO BE SUPPLIED for the dossier.</t>
        </is>
      </c>
    </row>
    <row r="54" ht="68.75" customHeight="1" s="31">
      <c r="A54" s="2" t="n">
        <v>46</v>
      </c>
      <c r="B54" s="3" t="inlineStr">
        <is>
          <t>Curriculum — summary of units, BSCRIM</t>
        </is>
      </c>
      <c r="C54" s="3" t="inlineStr">
        <is>
          <t>Checklist item 7.2</t>
        </is>
      </c>
      <c r="D54" s="3" t="inlineStr">
        <is>
          <t>Program Chair Samantha Rose C. Pisto</t>
        </is>
      </c>
      <c r="E54" s="3" t="inlineStr">
        <is>
          <t>Vice Dean Ken Gie Anthony G. Cruel (compliance audit); MIS Head Jayson R. Francisco (repository)</t>
        </is>
      </c>
      <c r="F54" s="4" t="n">
        <v>46295</v>
      </c>
      <c r="G54" s="5" t="inlineStr">
        <is>
          <t>For review</t>
        </is>
      </c>
      <c r="H54" s="6" t="n">
        <v>1</v>
      </c>
      <c r="I54" s="7" t="inlineStr">
        <is>
          <t>Summary table present and internally consistent: 33 GE Core plus Rizal, 15 GE Electives, 8 PE, 6 NSTP, 19 Core, 105 Major, 6 Internship = 192 units. Trimester sub-totals also foot. Recheck after the duplicate courses in item 45 are removed, since removing them changes the totals.</t>
        </is>
      </c>
    </row>
    <row r="55" ht="35" customHeight="1" s="31">
      <c r="A55" s="2" t="n">
        <v>47</v>
      </c>
      <c r="B55" s="3" t="inlineStr">
        <is>
          <t>Updated trimester curriculum — list of subjects with GE and Specialized identified, BSCRIM</t>
        </is>
      </c>
      <c r="C55" s="3" t="inlineStr">
        <is>
          <t>Checklist item 9.1</t>
        </is>
      </c>
      <c r="D55" s="3" t="inlineStr">
        <is>
          <t>Program Chair Samantha Rose C. Pisto</t>
        </is>
      </c>
      <c r="E55" s="3" t="inlineStr">
        <is>
          <t>Vice Dean Ken Gie Anthony G. Cruel (compliance audit); MIS Head Jayson R. Francisco (repository)</t>
        </is>
      </c>
      <c r="F55" s="4" t="n">
        <v>46295</v>
      </c>
      <c r="G55" s="5" t="inlineStr">
        <is>
          <t>For review</t>
        </is>
      </c>
      <c r="H55" s="6" t="n">
        <v>1</v>
      </c>
      <c r="I55" s="7" t="inlineStr">
        <is>
          <t>General education courses are identifiable by code in the draft prospectus; the formal GE versus Specialised tagging sheet is still to be produced.</t>
        </is>
      </c>
    </row>
    <row r="56" ht="135.75" customHeight="1" s="31">
      <c r="A56" s="2" t="n">
        <v>48</v>
      </c>
      <c r="B56" s="3" t="inlineStr">
        <is>
          <t>Updated trimester curriculum — sample schedule (Trimesters 1, 2 and 3), BSCRIM</t>
        </is>
      </c>
      <c r="C56" s="3" t="inlineStr">
        <is>
          <t>Checklist item 9.2</t>
        </is>
      </c>
      <c r="D56" s="3" t="inlineStr">
        <is>
          <t>Program Chair Samantha Rose C. Pisto</t>
        </is>
      </c>
      <c r="E56" s="3" t="inlineStr">
        <is>
          <t>Vice Dean Ken Gie Anthony G. Cruel (compliance audit); MIS Head Jayson R. Francisco (repository)</t>
        </is>
      </c>
      <c r="F56" s="4" t="n">
        <v>46304</v>
      </c>
      <c r="G56" s="5" t="inlineStr">
        <is>
          <t>Not started</t>
        </is>
      </c>
      <c r="H56" s="6" t="n">
        <v>0</v>
      </c>
      <c r="I56" s="7" t="inlineStr">
        <is>
          <t>The 14-week term and the 56-hour contact-hour standard are settled, so this grid can now be built. A 3-unit subject runs 240 minutes a week, which divides into 2 x 120, 3 x 80 or 4 x 60 minute periods. The grid must leave room for two examinations (midterm and final) and one monthly assessment per term. CALENDAR CONFLICT: the proposed AY 2027-2028 academic calendar was drawn on three terms of FIFTEEN academic weeks and must be redrawn to 14 before any grid is finalised — this also moves the enrolment, grade-processing and graduation dates. DAILY LOAD at 56 hours over four teaching days: 8.00 hours on a 24-unit term, 7.67 on 23 units, and 8.33 on the two 25-unit trimesters in BSCRIM (see item 45). TERM LENGTH DECIDED, 9 Sep 2026: 14 weeks per trimester, by the Council of Programme Chairs. The contact-hour standard moves with it from 54 to 56 hours per 3-unit subject, so a 3-unit subject runs 240 minutes a week and divides into whole periods (2 x 120, 3 x 80 or 4 x 60 minutes). MEETING DATE AND RESOLUTION NUMBER STILL TO BE SUPPLIED for the dossier.</t>
        </is>
      </c>
    </row>
    <row r="57" ht="91" customHeight="1" s="31">
      <c r="A57" s="2" t="n">
        <v>49</v>
      </c>
      <c r="B57" s="3" t="inlineStr">
        <is>
          <t>Curriculum — course descriptions, BSCRIM</t>
        </is>
      </c>
      <c r="C57" s="3" t="inlineStr">
        <is>
          <t>Checklist item 7.3</t>
        </is>
      </c>
      <c r="D57" s="3" t="inlineStr">
        <is>
          <t>Program Chair Samantha Rose C. Pisto</t>
        </is>
      </c>
      <c r="E57" s="3" t="inlineStr">
        <is>
          <t>Vice Dean Ken Gie Anthony G. Cruel (compliance audit); MIS Head Jayson R. Francisco (repository); General Education Syllabi Pool (20 shared GE, PATH-FIT, NSTP and CLE courses, written once for all 8 programs); 5 full-time BSCRIM faculty</t>
        </is>
      </c>
      <c r="F57" s="4" t="n">
        <v>46304</v>
      </c>
      <c r="G57" s="5" t="inlineStr">
        <is>
          <t>For review</t>
        </is>
      </c>
      <c r="H57" s="6" t="n">
        <v>1</v>
      </c>
      <c r="I57" s="7" t="inlineStr">
        <is>
          <t>Awaiting the curriculum template.</t>
        </is>
      </c>
    </row>
    <row r="58" ht="91" customHeight="1" s="31">
      <c r="A58" s="2" t="n">
        <v>50</v>
      </c>
      <c r="B58" s="3" t="inlineStr">
        <is>
          <t>Curriculum — course syllabi (outcomes-based), BSCRIM</t>
        </is>
      </c>
      <c r="C58" s="3" t="inlineStr">
        <is>
          <t>Checklist item 7.4</t>
        </is>
      </c>
      <c r="D58" s="3" t="inlineStr">
        <is>
          <t>Program Chair Samantha Rose C. Pisto</t>
        </is>
      </c>
      <c r="E58" s="3" t="inlineStr">
        <is>
          <t>Vice Dean Ken Gie Anthony G. Cruel (compliance audit); MIS Head Jayson R. Francisco (repository); General Education Syllabi Pool (20 shared GE, PATH-FIT, NSTP and CLE courses, written once for all 8 programs); 5 full-time BSCRIM faculty</t>
        </is>
      </c>
      <c r="F58" s="4" t="n">
        <v>46311</v>
      </c>
      <c r="G58" s="5" t="inlineStr">
        <is>
          <t>In progress</t>
        </is>
      </c>
      <c r="H58" s="6" t="n">
        <v>1</v>
      </c>
      <c r="I58" s="7" t="inlineStr">
        <is>
          <t>ASSESSMENT SCHEME confirmed by the Vice Dean, 3 Sep 2026: two examinations per term (midterm and final), one required monthly assessment, plus regular quizzes and activities. Every syllabus must carry this scheme.</t>
        </is>
      </c>
    </row>
    <row r="59" ht="68.75" customHeight="1" s="31">
      <c r="A59" s="2" t="n">
        <v>51</v>
      </c>
      <c r="B59" s="3" t="inlineStr">
        <is>
          <t>Curriculum — distribution of courses per trimester (9-term prospectus), BEED</t>
        </is>
      </c>
      <c r="C59" s="3" t="inlineStr">
        <is>
          <t>Checklist item 7.1</t>
        </is>
      </c>
      <c r="D59" s="3" t="inlineStr">
        <is>
          <t>Program Chair Kent E. Garcia</t>
        </is>
      </c>
      <c r="E59" s="3" t="inlineStr">
        <is>
          <t>Vice Dean Ken Gie Anthony G. Cruel (compliance audit); MIS Head Jayson R. Francisco (repository)</t>
        </is>
      </c>
      <c r="F59" s="4" t="n">
        <v>46290</v>
      </c>
      <c r="G59" s="5" t="inlineStr">
        <is>
          <t>For review</t>
        </is>
      </c>
      <c r="H59" s="6" t="n">
        <v>1</v>
      </c>
      <c r="I59" s="7" t="inlineStr">
        <is>
          <t>Draft 9-trimester prospectus under preparation by the Programme Chair. The BSCRIM submission is the working template — see the Reference sheet for its required structure. TERM LENGTH DECIDED, 9 Sep 2026: 14 weeks per trimester, by the Council of Programme Chairs. The contact-hour standard moves with it from 54 to 56 hours per 3-unit subject, so a 3-unit subject runs 240 minutes a week and divides into whole periods (2 x 120, 3 x 80 or 4 x 60 minutes). MEETING DATE AND RESOLUTION NUMBER STILL TO BE SUPPLIED for the dossier.</t>
        </is>
      </c>
    </row>
    <row r="60" ht="57.5" customHeight="1" s="31">
      <c r="A60" s="2" t="n">
        <v>52</v>
      </c>
      <c r="B60" s="3" t="inlineStr">
        <is>
          <t>Curriculum — summary of units, BEED</t>
        </is>
      </c>
      <c r="C60" s="3" t="inlineStr">
        <is>
          <t>Checklist item 7.2</t>
        </is>
      </c>
      <c r="D60" s="3" t="inlineStr">
        <is>
          <t>Program Chair Kent E. Garcia</t>
        </is>
      </c>
      <c r="E60" s="3" t="inlineStr">
        <is>
          <t>Vice Dean Ken Gie Anthony G. Cruel (compliance audit); MIS Head Jayson R. Francisco (repository)</t>
        </is>
      </c>
      <c r="F60" s="4" t="n">
        <v>46295</v>
      </c>
      <c r="G60" s="5" t="inlineStr">
        <is>
          <t>For review</t>
        </is>
      </c>
      <c r="H60" s="6" t="n">
        <v>1</v>
      </c>
      <c r="I60" s="7" t="inlineStr">
        <is>
          <t>Unit summary being computed from the draft prospectus. Use the BSCRIM summary table format: units by category code, then total. TERM LENGTH DECIDED, 9 Sep 2026: 14 weeks per trimester, by the Council of Programme Chairs. The contact-hour standard moves with it from 54 to 56 hours per 3-unit subject, so a 3-unit subject runs 240 minutes a week and divides into whole periods (2 x 120, 3 x 80 or 4 x 60 minutes). MEETING DATE AND RESOLUTION NUMBER STILL TO BE SUPPLIED for the dossier.</t>
        </is>
      </c>
    </row>
    <row r="61" ht="35" customHeight="1" s="31">
      <c r="A61" s="2" t="n">
        <v>53</v>
      </c>
      <c r="B61" s="3" t="inlineStr">
        <is>
          <t>Updated trimester curriculum — list of subjects with GE and Specialized identified, BEED</t>
        </is>
      </c>
      <c r="C61" s="3" t="inlineStr">
        <is>
          <t>Checklist item 9.1</t>
        </is>
      </c>
      <c r="D61" s="3" t="inlineStr">
        <is>
          <t>Program Chair Kent E. Garcia</t>
        </is>
      </c>
      <c r="E61" s="3" t="inlineStr">
        <is>
          <t>Vice Dean Ken Gie Anthony G. Cruel (compliance audit); MIS Head Jayson R. Francisco (repository)</t>
        </is>
      </c>
      <c r="F61" s="4" t="n">
        <v>46295</v>
      </c>
      <c r="G61" s="5" t="inlineStr">
        <is>
          <t>For review</t>
        </is>
      </c>
      <c r="H61" s="6" t="n">
        <v>1</v>
      </c>
      <c r="I61" s="7" t="inlineStr">
        <is>
          <t>General education courses are identifiable by code in the draft prospectus; the formal GE versus Specialised tagging sheet is still to be produced.</t>
        </is>
      </c>
    </row>
    <row r="62" ht="135.75" customHeight="1" s="31">
      <c r="A62" s="2" t="n">
        <v>54</v>
      </c>
      <c r="B62" s="3" t="inlineStr">
        <is>
          <t>Updated trimester curriculum — sample schedule (Trimesters 1, 2 and 3), BEED</t>
        </is>
      </c>
      <c r="C62" s="3" t="inlineStr">
        <is>
          <t>Checklist item 9.2</t>
        </is>
      </c>
      <c r="D62" s="3" t="inlineStr">
        <is>
          <t>Program Chair Kent E. Garcia</t>
        </is>
      </c>
      <c r="E62" s="3" t="inlineStr">
        <is>
          <t>Vice Dean Ken Gie Anthony G. Cruel (compliance audit); MIS Head Jayson R. Francisco (repository)</t>
        </is>
      </c>
      <c r="F62" s="4" t="n">
        <v>46304</v>
      </c>
      <c r="G62" s="5" t="inlineStr">
        <is>
          <t>Not started</t>
        </is>
      </c>
      <c r="H62" s="6" t="n">
        <v>0</v>
      </c>
      <c r="I62" s="7" t="inlineStr">
        <is>
          <t>The 14-week term and the 56-hour contact-hour standard are settled, so this grid can now be built. A 3-unit subject runs 240 minutes a week, which divides into 2 x 120, 3 x 80 or 4 x 60 minute periods. The grid must leave room for two examinations (midterm and final) and one monthly assessment per term. CALENDAR CONFLICT: the proposed AY 2027-2028 academic calendar was drawn on three terms of FIFTEEN academic weeks and must be redrawn to 14 before any grid is finalised — this also moves the enrolment, grade-processing and graduation dates. DAILY LOAD at 56 hours over four teaching days: 8.00 hours on a 24-unit term, 7.67 on 23 units, and 8.33 on the two 25-unit trimesters in BSCRIM (see item 45). TERM LENGTH DECIDED, 9 Sep 2026: 14 weeks per trimester, by the Council of Programme Chairs. The contact-hour standard moves with it from 54 to 56 hours per 3-unit subject, so a 3-unit subject runs 240 minutes a week and divides into whole periods (2 x 120, 3 x 80 or 4 x 60 minutes). MEETING DATE AND RESOLUTION NUMBER STILL TO BE SUPPLIED for the dossier.</t>
        </is>
      </c>
    </row>
    <row r="63" ht="79.75" customHeight="1" s="31">
      <c r="A63" s="2" t="n">
        <v>55</v>
      </c>
      <c r="B63" s="3" t="inlineStr">
        <is>
          <t>Curriculum — course descriptions, BEED</t>
        </is>
      </c>
      <c r="C63" s="3" t="inlineStr">
        <is>
          <t>Checklist item 7.3</t>
        </is>
      </c>
      <c r="D63" s="3" t="inlineStr">
        <is>
          <t>Program Chair Kent E. Garcia</t>
        </is>
      </c>
      <c r="E63" s="3" t="inlineStr">
        <is>
          <t>Vice Dean Ken Gie Anthony G. Cruel (compliance audit); MIS Head Jayson R. Francisco (repository); General Education Syllabi Pool (20 shared GE, PATH-FIT, NSTP and CLE courses, written once for all 8 programs); 14 full-time BEED faculty</t>
        </is>
      </c>
      <c r="F63" s="4" t="n">
        <v>46304</v>
      </c>
      <c r="G63" s="5" t="inlineStr">
        <is>
          <t>For review</t>
        </is>
      </c>
      <c r="H63" s="6" t="n">
        <v>1</v>
      </c>
      <c r="I63" s="7" t="inlineStr">
        <is>
          <t>Awaiting the curriculum template.</t>
        </is>
      </c>
    </row>
    <row r="64" ht="79.75" customHeight="1" s="31">
      <c r="A64" s="2" t="n">
        <v>56</v>
      </c>
      <c r="B64" s="3" t="inlineStr">
        <is>
          <t>Curriculum — course syllabi (outcomes-based), BEED</t>
        </is>
      </c>
      <c r="C64" s="3" t="inlineStr">
        <is>
          <t>Checklist item 7.4</t>
        </is>
      </c>
      <c r="D64" s="3" t="inlineStr">
        <is>
          <t>Program Chair Kent E. Garcia</t>
        </is>
      </c>
      <c r="E64" s="3" t="inlineStr">
        <is>
          <t>Vice Dean Ken Gie Anthony G. Cruel (compliance audit); MIS Head Jayson R. Francisco (repository); General Education Syllabi Pool (20 shared GE, PATH-FIT, NSTP and CLE courses, written once for all 8 programs); 14 full-time BEED faculty</t>
        </is>
      </c>
      <c r="F64" s="4" t="n">
        <v>46311</v>
      </c>
      <c r="G64" s="5" t="inlineStr">
        <is>
          <t>In progress</t>
        </is>
      </c>
      <c r="H64" s="6" t="n">
        <v>0</v>
      </c>
      <c r="I64" s="7" t="inlineStr">
        <is>
          <t>ASSESSMENT SCHEME confirmed by the Vice Dean, 3 Sep 2026: two examinations per term (midterm and final), one required monthly assessment, plus regular quizzes and activities. Every syllabus must carry this scheme.</t>
        </is>
      </c>
    </row>
    <row r="65" ht="68.75" customHeight="1" s="31">
      <c r="A65" s="2" t="n">
        <v>57</v>
      </c>
      <c r="B65" s="3" t="inlineStr">
        <is>
          <t>Curriculum — distribution of courses per trimester (9-term prospectus), BSED</t>
        </is>
      </c>
      <c r="C65" s="3" t="inlineStr">
        <is>
          <t>Checklist item 7.1</t>
        </is>
      </c>
      <c r="D65" s="3" t="inlineStr">
        <is>
          <t>Program Chair Kent E. Garcia</t>
        </is>
      </c>
      <c r="E65" s="3" t="inlineStr">
        <is>
          <t>Vice Dean Ken Gie Anthony G. Cruel (compliance audit); MIS Head Jayson R. Francisco (repository)</t>
        </is>
      </c>
      <c r="F65" s="4" t="n">
        <v>46290</v>
      </c>
      <c r="G65" s="5" t="inlineStr">
        <is>
          <t>For review</t>
        </is>
      </c>
      <c r="H65" s="6" t="n">
        <v>1</v>
      </c>
      <c r="I65" s="7" t="inlineStr">
        <is>
          <t>Draft 9-trimester prospectus under preparation by the Programme Chair. The BSCRIM submission is the working template — see the Reference sheet for its required structure. TERM LENGTH DECIDED, 9 Sep 2026: 14 weeks per trimester, by the Council of Programme Chairs. The contact-hour standard moves with it from 54 to 56 hours per 3-unit subject, so a 3-unit subject runs 240 minutes a week and divides into whole periods (2 x 120, 3 x 80 or 4 x 60 minutes). MEETING DATE AND RESOLUTION NUMBER STILL TO BE SUPPLIED for the dossier.</t>
        </is>
      </c>
    </row>
    <row r="66" ht="57.5" customHeight="1" s="31">
      <c r="A66" s="2" t="n">
        <v>58</v>
      </c>
      <c r="B66" s="3" t="inlineStr">
        <is>
          <t>Curriculum — summary of units, BSED</t>
        </is>
      </c>
      <c r="C66" s="3" t="inlineStr">
        <is>
          <t>Checklist item 7.2</t>
        </is>
      </c>
      <c r="D66" s="3" t="inlineStr">
        <is>
          <t>Program Chair Kent E. Garcia</t>
        </is>
      </c>
      <c r="E66" s="3" t="inlineStr">
        <is>
          <t>Vice Dean Ken Gie Anthony G. Cruel (compliance audit); MIS Head Jayson R. Francisco (repository)</t>
        </is>
      </c>
      <c r="F66" s="4" t="n">
        <v>46295</v>
      </c>
      <c r="G66" s="5" t="inlineStr">
        <is>
          <t>For review</t>
        </is>
      </c>
      <c r="H66" s="6" t="n">
        <v>1</v>
      </c>
      <c r="I66" s="7" t="inlineStr">
        <is>
          <t>Unit summary being computed from the draft prospectus. Use the BSCRIM summary table format: units by category code, then total. TERM LENGTH DECIDED, 9 Sep 2026: 14 weeks per trimester, by the Council of Programme Chairs. The contact-hour standard moves with it from 54 to 56 hours per 3-unit subject, so a 3-unit subject runs 240 minutes a week and divides into whole periods (2 x 120, 3 x 80 or 4 x 60 minutes). MEETING DATE AND RESOLUTION NUMBER STILL TO BE SUPPLIED for the dossier.</t>
        </is>
      </c>
    </row>
    <row r="67" ht="35" customHeight="1" s="31">
      <c r="A67" s="2" t="n">
        <v>59</v>
      </c>
      <c r="B67" s="3" t="inlineStr">
        <is>
          <t>Updated trimester curriculum — list of subjects with GE and Specialized identified, BSED</t>
        </is>
      </c>
      <c r="C67" s="3" t="inlineStr">
        <is>
          <t>Checklist item 9.1</t>
        </is>
      </c>
      <c r="D67" s="3" t="inlineStr">
        <is>
          <t>Program Chair Kent E. Garcia</t>
        </is>
      </c>
      <c r="E67" s="3" t="inlineStr">
        <is>
          <t>Vice Dean Ken Gie Anthony G. Cruel (compliance audit); MIS Head Jayson R. Francisco (repository)</t>
        </is>
      </c>
      <c r="F67" s="4" t="n">
        <v>46295</v>
      </c>
      <c r="G67" s="5" t="inlineStr">
        <is>
          <t>For review</t>
        </is>
      </c>
      <c r="H67" s="6" t="n">
        <v>1</v>
      </c>
      <c r="I67" s="7" t="inlineStr">
        <is>
          <t>General education courses are identifiable by code in the draft prospectus; the formal GE versus Specialised tagging sheet is still to be produced.</t>
        </is>
      </c>
    </row>
    <row r="68" ht="135.75" customHeight="1" s="31">
      <c r="A68" s="2" t="n">
        <v>60</v>
      </c>
      <c r="B68" s="3" t="inlineStr">
        <is>
          <t>Updated trimester curriculum — sample schedule (Trimesters 1, 2 and 3), BSED</t>
        </is>
      </c>
      <c r="C68" s="3" t="inlineStr">
        <is>
          <t>Checklist item 9.2</t>
        </is>
      </c>
      <c r="D68" s="3" t="inlineStr">
        <is>
          <t>Program Chair Kent E. Garcia</t>
        </is>
      </c>
      <c r="E68" s="3" t="inlineStr">
        <is>
          <t>Vice Dean Ken Gie Anthony G. Cruel (compliance audit); MIS Head Jayson R. Francisco (repository)</t>
        </is>
      </c>
      <c r="F68" s="4" t="n">
        <v>46304</v>
      </c>
      <c r="G68" s="5" t="inlineStr">
        <is>
          <t>Not started</t>
        </is>
      </c>
      <c r="H68" s="6" t="n">
        <v>0</v>
      </c>
      <c r="I68" s="7" t="inlineStr">
        <is>
          <t>The 14-week term and the 56-hour contact-hour standard are settled, so this grid can now be built. A 3-unit subject runs 240 minutes a week, which divides into 2 x 120, 3 x 80 or 4 x 60 minute periods. The grid must leave room for two examinations (midterm and final) and one monthly assessment per term. CALENDAR CONFLICT: the proposed AY 2027-2028 academic calendar was drawn on three terms of FIFTEEN academic weeks and must be redrawn to 14 before any grid is finalised — this also moves the enrolment, grade-processing and graduation dates. DAILY LOAD at 56 hours over four teaching days: 8.00 hours on a 24-unit term, 7.67 on 23 units, and 8.33 on the two 25-unit trimesters in BSCRIM (see item 45). TERM LENGTH DECIDED, 9 Sep 2026: 14 weeks per trimester, by the Council of Programme Chairs. The contact-hour standard moves with it from 54 to 56 hours per 3-unit subject, so a 3-unit subject runs 240 minutes a week and divides into whole periods (2 x 120, 3 x 80 or 4 x 60 minutes). MEETING DATE AND RESOLUTION NUMBER STILL TO BE SUPPLIED for the dossier.</t>
        </is>
      </c>
    </row>
    <row r="69" ht="79.75" customHeight="1" s="31">
      <c r="A69" s="2" t="n">
        <v>61</v>
      </c>
      <c r="B69" s="3" t="inlineStr">
        <is>
          <t>Curriculum — course descriptions, BSED</t>
        </is>
      </c>
      <c r="C69" s="3" t="inlineStr">
        <is>
          <t>Checklist item 7.3</t>
        </is>
      </c>
      <c r="D69" s="3" t="inlineStr">
        <is>
          <t>Program Chair Kent E. Garcia</t>
        </is>
      </c>
      <c r="E69" s="3" t="inlineStr">
        <is>
          <t>Vice Dean Ken Gie Anthony G. Cruel (compliance audit); MIS Head Jayson R. Francisco (repository); General Education Syllabi Pool (20 shared GE, PATH-FIT, NSTP and CLE courses, written once for all 8 programs); 14 full-time BSED faculty</t>
        </is>
      </c>
      <c r="F69" s="4" t="n">
        <v>46304</v>
      </c>
      <c r="G69" s="5" t="inlineStr">
        <is>
          <t>For review</t>
        </is>
      </c>
      <c r="H69" s="6" t="n">
        <v>1</v>
      </c>
      <c r="I69" s="7" t="inlineStr">
        <is>
          <t>Awaiting the curriculum template.</t>
        </is>
      </c>
    </row>
    <row r="70" ht="79.75" customHeight="1" s="31">
      <c r="A70" s="2" t="n">
        <v>62</v>
      </c>
      <c r="B70" s="3" t="inlineStr">
        <is>
          <t>Curriculum — course syllabi (outcomes-based), BSED</t>
        </is>
      </c>
      <c r="C70" s="3" t="inlineStr">
        <is>
          <t>Checklist item 7.4</t>
        </is>
      </c>
      <c r="D70" s="3" t="inlineStr">
        <is>
          <t>Program Chair Kent E. Garcia</t>
        </is>
      </c>
      <c r="E70" s="3" t="inlineStr">
        <is>
          <t>Vice Dean Ken Gie Anthony G. Cruel (compliance audit); MIS Head Jayson R. Francisco (repository); General Education Syllabi Pool (20 shared GE, PATH-FIT, NSTP and CLE courses, written once for all 8 programs); 14 full-time BSED faculty</t>
        </is>
      </c>
      <c r="F70" s="4" t="n">
        <v>46311</v>
      </c>
      <c r="G70" s="5" t="inlineStr">
        <is>
          <t>In progress</t>
        </is>
      </c>
      <c r="H70" s="6" t="n">
        <v>0</v>
      </c>
      <c r="I70" s="7" t="inlineStr">
        <is>
          <t>ASSESSMENT SCHEME confirmed by the Vice Dean, 3 Sep 2026: two examinations per term (midterm and final), one required monthly assessment, plus regular quizzes and activities. Every syllabus must carry this scheme.</t>
        </is>
      </c>
    </row>
    <row r="71" ht="15" customHeight="1" s="31">
      <c r="A71" s="27" t="inlineStr">
        <is>
          <t>AREA E — LIBRARY</t>
        </is>
      </c>
      <c r="B71" s="28" t="n"/>
      <c r="C71" s="28" t="n"/>
      <c r="D71" s="28" t="n"/>
      <c r="E71" s="28" t="n"/>
      <c r="F71" s="28" t="n"/>
      <c r="G71" s="28" t="n"/>
      <c r="H71" s="28" t="n"/>
      <c r="I71" s="29" t="n"/>
    </row>
    <row r="72" ht="79.75" customHeight="1" s="31">
      <c r="A72" s="2" t="n">
        <v>63</v>
      </c>
      <c r="B72" s="3" t="inlineStr">
        <is>
          <t>Librarian — qualification and status per appointment</t>
        </is>
      </c>
      <c r="C72" s="3" t="inlineStr">
        <is>
          <t>Checklist item 8.1</t>
        </is>
      </c>
      <c r="D72" s="3" t="inlineStr">
        <is>
          <t>Library Lead Annabelle Pastrana</t>
        </is>
      </c>
      <c r="E72" s="3" t="inlineStr">
        <is>
          <t>HR Officer Ellarein Richelle Dela Cruz</t>
        </is>
      </c>
      <c r="F72" s="4" t="n">
        <v>46295</v>
      </c>
      <c r="G72" s="5" t="inlineStr">
        <is>
          <t>Not started</t>
        </is>
      </c>
      <c r="H72" s="6" t="n">
        <v>0</v>
      </c>
      <c r="I72" s="7" t="inlineStr">
        <is>
          <t>There is no appointed head librarian. Annabelle Pastrana acts as Library Lead in the meantime; Sta. Cruz and Bernardo complete the library team. This item asks for the librarian's qualification and status per appointment, so a designation memo naming Ms. Pastrana as Officer-in-Charge must be issued and attached — the name alone will not close this row.</t>
        </is>
      </c>
    </row>
    <row r="73" ht="23.75" customHeight="1" s="31">
      <c r="A73" s="2" t="n">
        <v>64</v>
      </c>
      <c r="B73" s="3" t="inlineStr">
        <is>
          <t>List of library facilities</t>
        </is>
      </c>
      <c r="C73" s="3" t="inlineStr">
        <is>
          <t>Checklist item 8.2</t>
        </is>
      </c>
      <c r="D73" s="3" t="inlineStr">
        <is>
          <t>Library Lead Annabelle Pastrana</t>
        </is>
      </c>
      <c r="E73" s="3" t="inlineStr">
        <is>
          <t>VPAA / VP Admin &amp; Finance Dr. Raquel T. Sta. Ines</t>
        </is>
      </c>
      <c r="F73" s="4" t="n">
        <v>46295</v>
      </c>
      <c r="G73" s="5" t="inlineStr">
        <is>
          <t>Not started</t>
        </is>
      </c>
      <c r="H73" s="6" t="n">
        <v>0</v>
      </c>
      <c r="I73" s="7" t="n"/>
    </row>
    <row r="74" ht="23.75" customHeight="1" s="31">
      <c r="A74" s="2" t="n">
        <v>65</v>
      </c>
      <c r="B74" s="3" t="inlineStr">
        <is>
          <t>Library seating capacity</t>
        </is>
      </c>
      <c r="C74" s="3" t="inlineStr">
        <is>
          <t>Checklist item 8.3</t>
        </is>
      </c>
      <c r="D74" s="3" t="inlineStr">
        <is>
          <t>Library Lead Annabelle Pastrana</t>
        </is>
      </c>
      <c r="E74" s="3" t="inlineStr">
        <is>
          <t>VPAA / VP Admin &amp; Finance Dr. Raquel T. Sta. Ines</t>
        </is>
      </c>
      <c r="F74" s="4" t="n">
        <v>46295</v>
      </c>
      <c r="G74" s="5" t="inlineStr">
        <is>
          <t>Not started</t>
        </is>
      </c>
      <c r="H74" s="6" t="n">
        <v>0</v>
      </c>
      <c r="I74" s="7" t="n"/>
    </row>
    <row r="75" ht="57.5" customHeight="1" s="31">
      <c r="A75" s="2" t="n">
        <v>66</v>
      </c>
      <c r="B75" s="3" t="inlineStr">
        <is>
          <t>Library collections spreadsheet (books, journals, magazines, dictionaries, almanacs) — author, title, year of publication, number of volumes</t>
        </is>
      </c>
      <c r="C75" s="3" t="inlineStr">
        <is>
          <t>Checklist item 8.4.1</t>
        </is>
      </c>
      <c r="D75" s="3" t="inlineStr">
        <is>
          <t>Library Lead Annabelle Pastrana</t>
        </is>
      </c>
      <c r="E75" s="3" t="inlineStr">
        <is>
          <t>Sta. Cruz (also Teacher Education faculty); Bernardo (also Hospitality Management faculty); Library Collection Committee — full-time faculty, one per department</t>
        </is>
      </c>
      <c r="F75" s="4" t="n">
        <v>46304</v>
      </c>
      <c r="G75" s="5" t="inlineStr">
        <is>
          <t>Not started</t>
        </is>
      </c>
      <c r="H75" s="6" t="n">
        <v>0</v>
      </c>
      <c r="I75" s="7" t="n"/>
    </row>
    <row r="76" ht="46.25" customHeight="1" s="31">
      <c r="A76" s="2" t="n">
        <v>67</v>
      </c>
      <c r="B76" s="3" t="inlineStr">
        <is>
          <t>List of 5 non-duplicated titles per subject in the curriculum, published within the last 5 years</t>
        </is>
      </c>
      <c r="C76" s="3" t="inlineStr">
        <is>
          <t>Checklist item 8.4.2</t>
        </is>
      </c>
      <c r="D76" s="3" t="inlineStr">
        <is>
          <t>Library Lead Annabelle Pastrana</t>
        </is>
      </c>
      <c r="E76" s="3" t="inlineStr">
        <is>
          <t>Sta. Cruz; Bernardo; All 8 Program Chairs (subject lists); Library Collection Committee — full-time faculty, one per department</t>
        </is>
      </c>
      <c r="F76" s="4" t="n">
        <v>46311</v>
      </c>
      <c r="G76" s="5" t="inlineStr">
        <is>
          <t>Not started</t>
        </is>
      </c>
      <c r="H76" s="6" t="n">
        <v>0</v>
      </c>
      <c r="I76" s="7" t="inlineStr">
        <is>
          <t>Project plan reads this as titles published 2021-2026. Depends on the curriculum subject lists (item 9.1) for all 8 programs.</t>
        </is>
      </c>
    </row>
    <row r="77" ht="35" customHeight="1" s="31">
      <c r="A77" s="2" t="n">
        <v>68</v>
      </c>
      <c r="B77" s="3" t="inlineStr">
        <is>
          <t>List of book collections / accessioned books (start-up 3,000 books; recognition 5,000 books)</t>
        </is>
      </c>
      <c r="C77" s="3" t="inlineStr">
        <is>
          <t>Checklist item 8.4.3</t>
        </is>
      </c>
      <c r="D77" s="3" t="inlineStr">
        <is>
          <t>Library Lead Annabelle Pastrana</t>
        </is>
      </c>
      <c r="E77" s="3" t="inlineStr">
        <is>
          <t>Sta. Cruz (also Teacher Education faculty); Bernardo (also Hospitality Management faculty)</t>
        </is>
      </c>
      <c r="F77" s="4" t="n">
        <v>46311</v>
      </c>
      <c r="G77" s="5" t="inlineStr">
        <is>
          <t>Not started</t>
        </is>
      </c>
      <c r="H77" s="6" t="n">
        <v>0</v>
      </c>
      <c r="I77" s="7" t="inlineStr">
        <is>
          <t>OPEN ITEM 3 — confirm whether the 3,000 or the 5,000 threshold applies to a trimestral conversion of existing programs.</t>
        </is>
      </c>
    </row>
    <row r="78" ht="35" customHeight="1" s="31">
      <c r="A78" s="2" t="n">
        <v>69</v>
      </c>
      <c r="B78" s="3" t="inlineStr">
        <is>
          <t>List of subscribed journals</t>
        </is>
      </c>
      <c r="C78" s="3" t="inlineStr">
        <is>
          <t>Checklist item 8.4.4</t>
        </is>
      </c>
      <c r="D78" s="3" t="inlineStr">
        <is>
          <t>Library Lead Annabelle Pastrana</t>
        </is>
      </c>
      <c r="E78" s="3" t="inlineStr">
        <is>
          <t>Sta. Cruz (also Teacher Education faculty); Bernardo (also Hospitality Management faculty)</t>
        </is>
      </c>
      <c r="F78" s="4" t="n">
        <v>46304</v>
      </c>
      <c r="G78" s="5" t="inlineStr">
        <is>
          <t>Not started</t>
        </is>
      </c>
      <c r="H78" s="6" t="n">
        <v>0</v>
      </c>
      <c r="I78" s="7" t="n"/>
    </row>
    <row r="79" ht="15" customHeight="1" s="31">
      <c r="A79" s="27" t="inlineStr">
        <is>
          <t>AREA F — CONSOLIDATION, FILING &amp; INTERNAL COORDINATION  (from the internal project plan — not items on the CHED checklist)</t>
        </is>
      </c>
      <c r="B79" s="28" t="n"/>
      <c r="C79" s="28" t="n"/>
      <c r="D79" s="28" t="n"/>
      <c r="E79" s="28" t="n"/>
      <c r="F79" s="28" t="n"/>
      <c r="G79" s="28" t="n"/>
      <c r="H79" s="28" t="n"/>
      <c r="I79" s="29" t="n"/>
    </row>
    <row r="80" ht="23.75" customHeight="1" s="31">
      <c r="A80" s="2" t="n">
        <v>70</v>
      </c>
      <c r="B80" s="3" t="inlineStr">
        <is>
          <t>Index, print, digitise and assemble the hard copy and soft copy master application binders</t>
        </is>
      </c>
      <c r="C80" s="3" t="inlineStr">
        <is>
          <t>Internal — project plan Phase 3</t>
        </is>
      </c>
      <c r="D80" s="3" t="inlineStr">
        <is>
          <t>MIS Head Jayson R. Francisco</t>
        </is>
      </c>
      <c r="E80" s="3" t="inlineStr">
        <is>
          <t>Admin staff; Vice Dean Ken Gie Anthony G. Cruel</t>
        </is>
      </c>
      <c r="F80" s="4" t="n">
        <v>46332</v>
      </c>
      <c r="G80" s="5" t="inlineStr">
        <is>
          <t>Not started</t>
        </is>
      </c>
      <c r="H80" s="6" t="n">
        <v>0</v>
      </c>
      <c r="I80" s="7" t="inlineStr">
        <is>
          <t>OPEN ITEM 4 — number of binder copies required by CHED Region III not yet confirmed.</t>
        </is>
      </c>
    </row>
    <row r="81" ht="23.75" customHeight="1" s="31">
      <c r="A81" s="2" t="n">
        <v>71</v>
      </c>
      <c r="B81" s="3" t="inlineStr">
        <is>
          <t>Secure executive endorsement of the completed dossier</t>
        </is>
      </c>
      <c r="C81" s="3" t="inlineStr">
        <is>
          <t>Internal — project plan Phase 4</t>
        </is>
      </c>
      <c r="D81" s="3" t="inlineStr">
        <is>
          <t>Vice Dean Ken Gie Anthony G. Cruel</t>
        </is>
      </c>
      <c r="E81" s="3" t="inlineStr">
        <is>
          <t>Dean Dr. Almario B. Garcia; VPAA Dr. Raquel T. Sta. Ines</t>
        </is>
      </c>
      <c r="F81" s="4" t="n">
        <v>46336</v>
      </c>
      <c r="G81" s="5" t="inlineStr">
        <is>
          <t>Not started</t>
        </is>
      </c>
      <c r="H81" s="6" t="n">
        <v>0</v>
      </c>
      <c r="I81" s="7" t="n"/>
    </row>
    <row r="82" ht="23.75" customHeight="1" s="31">
      <c r="A82" s="2" t="n">
        <v>72</v>
      </c>
      <c r="B82" s="3" t="inlineStr">
        <is>
          <t>File the application dossier with CHED Region III and secure the receiving copy</t>
        </is>
      </c>
      <c r="C82" s="3" t="inlineStr">
        <is>
          <t>Internal — project plan Phase 4</t>
        </is>
      </c>
      <c r="D82" s="3" t="inlineStr">
        <is>
          <t>Vice Dean Ken Gie Anthony G. Cruel</t>
        </is>
      </c>
      <c r="E82" s="3" t="inlineStr">
        <is>
          <t>MIS Head Jayson R. Francisco; administrative staff</t>
        </is>
      </c>
      <c r="F82" s="4" t="n">
        <v>46339</v>
      </c>
      <c r="G82" s="5" t="inlineStr">
        <is>
          <t>Not started</t>
        </is>
      </c>
      <c r="H82" s="6" t="n">
        <v>0</v>
      </c>
      <c r="I82" s="7" t="inlineStr">
        <is>
          <t>Target submission date set by Council Resolution 2026-08-03.</t>
        </is>
      </c>
    </row>
    <row r="83" ht="113.5" customHeight="1" s="31">
      <c r="A83" s="2" t="n">
        <v>73</v>
      </c>
      <c r="B83" s="3" t="inlineStr">
        <is>
          <t>Secure written clarification from CHED Region III on the five unresolved requirement questions</t>
        </is>
      </c>
      <c r="C83" s="3" t="inlineStr">
        <is>
          <t>Internal — raised by the Vice Dean, 3 Sep 2026</t>
        </is>
      </c>
      <c r="D83" s="3" t="inlineStr">
        <is>
          <t>MIS Head Jayson R. Francisco</t>
        </is>
      </c>
      <c r="E83" s="3" t="inlineStr">
        <is>
          <t>Vice Dean Ken Gie Anthony G. Cruel</t>
        </is>
      </c>
      <c r="F83" s="4" t="n">
        <v>46290</v>
      </c>
      <c r="G83" s="5" t="inlineStr">
        <is>
          <t>Not started</t>
        </is>
      </c>
      <c r="H83" s="6" t="n">
        <v>0</v>
      </c>
      <c r="I83" s="7" t="inlineStr">
        <is>
          <t>Covers Open Items 2 to 5 — the questions only CHED Region III can answer. (Open Item 1, the 14-versus-15-week term length, is for the Council of Chairs, not CHED.) The questions are: which form is meant by 'CHED Program Evaluation'; which issuance governs a shift to trimestral delivery; whether the 3,000 or 5,000 book threshold applies to a conversion of existing programmes; how many hard and soft copies Region III requires; and whether syllabi are needed for every course or only new and re-sequenced ones. The syllabi question is the one that matters most — it drives the 16 October deadline on items 15 to 62, which is why this is dated 25 September.</t>
        </is>
      </c>
    </row>
    <row r="84">
      <c r="A84" s="2" t="n">
        <v>74</v>
      </c>
      <c r="B84" s="3" t="inlineStr">
        <is>
          <t>General Education Syllabi Pool — publish the writer allocation, the common syllabus template and the internal hand-in dates</t>
        </is>
      </c>
      <c r="C84" s="3" t="inlineStr">
        <is>
          <t>Internal — raised by the Vice Dean, 9 Sep 2026</t>
        </is>
      </c>
      <c r="D84" s="3" t="inlineStr">
        <is>
          <t>Program Chair Kent E. Garcia</t>
        </is>
      </c>
      <c r="E84" s="3" t="inlineStr">
        <is>
          <t>General Education Syllabi Pool — 7 writers (Ilag, Germino, Calma, Mequiabas, Manuel, Tolosa, Jamlang); Vice Dean Ken Gie Anthony G. Cruel (GE code harmonisation); all 8 Program Chairs (recipients)</t>
        </is>
      </c>
      <c r="F84" s="4" t="n">
        <v>46290</v>
      </c>
      <c r="G84" s="5" t="inlineStr">
        <is>
          <t>Not started</t>
        </is>
      </c>
      <c r="H84" s="6" t="n">
        <v>0</v>
      </c>
      <c r="I84" s="7" t="inlineStr">
        <is>
          <t>POOL LEAD: Chair Kent E. Garcia (named 9 Sep 2026). ALLOCATION REVISED 13 Sep 2026 by direction of the Vice Dean — all 20 courses are assigned by name across SEVEN writers (Aquino, Agnes M. was moved out of the pool on the same date to write BEED/BSED major courses under item 79 instead). Ilag: REL-GEC, CLE 1, CLE 2, STS-GEC. Germino: HIS-GEC. Calma: PATH-FIT 1, PATH-FIT 2, NSTP 1. Mequiabas: PATH-FIT 3, PATH-FIT 4, NSTP 2. Manuel: ETH-GEC, MAT-GEC, BL-GEC. Tolosa: ART-GEC, COM-GEC, US-GEC. Jamlang: CON-GEC, ITE-GEC, RIZ-GEC — two only, on the heaviest teaching load in the pool at 27 units over 5 preps. Each writer produces the description AND the syllabus per course. THE LEAD'S TASKS: issue one common syllabus template carrying the assessment scheme and the 14-week / 56-hour basis; set internal hand-in dates ahead of 9 Oct and 16 Oct; hand one finished set to all 8 Chairs; report slippage weekly to the Vice Dean. WATCH: NSTP 1 is the prerequisite of NSTP 2 and they now sit with different writers — Calma and Mequiabas must agree the two syllabi between them. STILL BLOCKED BY OPEN ITEM 7 — the GE course codes do not match across programmes, so the allocation is not final until they are harmonised. He convenes and reports; each Programme Chair still answers for their own 7.3 and 7.4 rows. 26 Oct 2026: the Vice Dean has drafted syllabi for all 20 GE, PATH-FIT, NSTP and CLE courses (Drafts for Review) for the writers to adopt, check and finalise. Open Item 7 (code mismatch) still applies. REALLOCATED 26 Oct 2026 — D. Maglalang resigned. Her three courses went to the faculty who teach them in the Proposed Faculty Loading: CLE 2 to Ilag (who already has CLE 1), HIS-GEC to Germino (who teaches it in First Year - Trimester 1, and joins the pool for it), RIZ-GEC to Jamlang (who teaches it in First Year - Trimester 3). Still seven writers.</t>
        </is>
      </c>
    </row>
    <row r="85" s="31">
      <c r="A85" s="2" t="n">
        <v>75</v>
      </c>
      <c r="B85" s="3" t="inlineStr">
        <is>
          <t>Business Cluster Pool — fix the definitive shared-course list and publish the writer allocation and internal hand-in dates</t>
        </is>
      </c>
      <c r="C85" s="3" t="inlineStr">
        <is>
          <t>Internal — raised by the Vice Dean, 9 Sep 2026</t>
        </is>
      </c>
      <c r="D85" s="3" t="inlineStr">
        <is>
          <t>Program Chair Ranilo S. Castillo II</t>
        </is>
      </c>
      <c r="E85" s="3" t="inlineStr">
        <is>
          <t>Business Cluster Pool (Aquino (Ann Jellie), Bauat, Dela Cruz (Jacqueline), Salas); Vice Dean Ken Gie Anthony G. Cruel; Program Chairs of BSA, BSAIS and BSHM (recipients)</t>
        </is>
      </c>
      <c r="F85" s="4" t="n">
        <v>46290</v>
      </c>
      <c r="G85" s="5" t="inlineStr">
        <is>
          <t>Not started</t>
        </is>
      </c>
      <c r="H85" s="6" t="n">
        <v>0</v>
      </c>
      <c r="I85" s="7" t="inlineStr">
        <is>
          <t>POOL LEAD NAMED 9 Sep 2026: Chair Ranilo S. Castillo II convenes the Business Cluster Pool. The pool writes the shared business, economics and law courses ONCE for BSA, BSAIS, BSBA and BSHM, so its output feeds items 19-20, 25-26, 31-32 and 43-44. THE LEAD'S SPECIFIC TASKS: (1) FIX THE DEFINITIVE COURSE LIST — it is still recorded only as 'about 12 to 13 courses' and no exact list exists, so this comes first; (2) publish the allocation across the 4 writers; (3) use the same common syllabus template as the GE pool; (4) set internal hand-in dates ahead of 9 Oct and 16 Oct; (5) hand ONE copy to the Chairs of BSA, BSAIS, BSBA and BSHM; (6) report slippage to the Vice Dean. BSA and BSAIS have no full-time faculty of their own, so this pool is the only source of these courses for two of the four programmes. The Chair convenes and reports; each Programme Chair still answers for their own 7.3 and 7.4 rows. 26 Oct 2026: the Vice Dean has drafted syllabi for the business, economics and law courses (Drafts for Review) for the writers to adopt, check and finalise.</t>
        </is>
      </c>
    </row>
    <row r="86" s="31">
      <c r="A86" s="2" t="n">
        <v>76</v>
      </c>
      <c r="B86" s="3" t="inlineStr">
        <is>
          <t>Programme-specialised writer allocation, BSCRIM — publish which full-time faculty writes which BSCRIM major course, with the internal hand-in dates</t>
        </is>
      </c>
      <c r="C86" s="3" t="inlineStr">
        <is>
          <t>Internal — raised by the Vice Dean, 13 Sep 2026</t>
        </is>
      </c>
      <c r="D86" s="3" t="inlineStr">
        <is>
          <t>Program Chair Samantha Rose C. Pisto</t>
        </is>
      </c>
      <c r="E86" s="3" t="inlineStr">
        <is>
          <t>BSCRIM full-time faculty (Arimbuyutan, Dela Cruz (Jhon Allen), Diaz, Pamiloza, Ramos); Vice Dean Ken Gie Anthony G. Cruel</t>
        </is>
      </c>
      <c r="F86" s="4" t="n">
        <v>46290</v>
      </c>
      <c r="G86" s="5" t="inlineStr">
        <is>
          <t>Not started</t>
        </is>
      </c>
      <c r="H86" s="6" t="n">
        <v>0</v>
      </c>
      <c r="I86" s="7" t="inlineStr">
        <is>
          <t>Five full-time writers — the best-staffed department in the college after Teacher Education. Until this allocation names their courses, each of the five carries a counted task on the Faculty sheet rather than a named one. Use the common template (14 weeks / 56 hours; two exams plus a monthly assessment). Internal hand-in: descriptions 9 Oct 2026, syllabi 16 Oct 2026. Feeds items 49 and 50. NOTE against item 45: the two 25-unit BSCRIM trimesters put students at 8.33 contact hours a day and are still to be fixed.</t>
        </is>
      </c>
    </row>
    <row r="87" s="31">
      <c r="A87" s="2" t="n">
        <v>77</v>
      </c>
      <c r="B87" s="3" t="inlineStr">
        <is>
          <t>Programme-specialised writer allocation, BSHM — publish which full-time faculty writes which BSHM major course, with the internal hand-in dates</t>
        </is>
      </c>
      <c r="C87" s="3" t="inlineStr">
        <is>
          <t>Internal — raised by the Vice Dean, 13 Sep 2026</t>
        </is>
      </c>
      <c r="D87" s="3" t="inlineStr">
        <is>
          <t>Program Chair Stephanie S. Ciasico</t>
        </is>
      </c>
      <c r="E87" s="3" t="inlineStr">
        <is>
          <t>BSHM full-time faculty (Bernardo, Dela Cruz (Jonathan), Geronimo); Vice Dean Ken Gie Anthony G. Cruel</t>
        </is>
      </c>
      <c r="F87" s="4" t="n">
        <v>46290</v>
      </c>
      <c r="G87" s="5" t="inlineStr">
        <is>
          <t>Not started</t>
        </is>
      </c>
      <c r="H87" s="6" t="n">
        <v>0</v>
      </c>
      <c r="I87" s="7" t="inlineStr">
        <is>
          <t>Three full-time writers, and the shared business courses are already covered by the Business Cluster Pool under item 75, so this allocation covers hospitality-specialised courses only. Bernardo also carries library items 66 to 69 on top of a 21-unit load — weight his share accordingly. Internal hand-in: descriptions 9 Oct 2026, syllabi 16 Oct 2026. Feeds items 43 and 44.</t>
        </is>
      </c>
    </row>
    <row r="88" s="31">
      <c r="A88" s="2" t="n">
        <v>78</v>
      </c>
      <c r="B88" s="3" t="inlineStr">
        <is>
          <t>Programme-specialised writer allocation, BSCS — publish which full-time faculty writes which BSCS major course, with the internal hand-in dates</t>
        </is>
      </c>
      <c r="C88" s="3" t="inlineStr">
        <is>
          <t>Internal — raised by the Vice Dean, 13 Sep 2026</t>
        </is>
      </c>
      <c r="D88" s="3" t="inlineStr">
        <is>
          <t>Program Chair John Philip N. Diamat</t>
        </is>
      </c>
      <c r="E88" s="3" t="inlineStr">
        <is>
          <t>Cristobal, Teofilo G. (the department's only other full-time faculty); Vice Dean Ken Gie Anthony G. Cruel</t>
        </is>
      </c>
      <c r="F88" s="4" t="n">
        <v>46290</v>
      </c>
      <c r="G88" s="5" t="inlineStr">
        <is>
          <t>Not started</t>
        </is>
      </c>
      <c r="H88" s="6" t="n">
        <v>0</v>
      </c>
      <c r="I88" s="7" t="inlineStr">
        <is>
          <t>CAPACITY WARNING — this department has exactly one full-time writer besides the Chair. Cristobal, Teofilo G. cannot absorb the BSCS major courses alone, so this allocation must state plainly which courses fall to the Chair himself and which, if any, need help from outside the department. The same shape of problem as Open Item 9. Correct Cristobal's department on the roster main sheet (he is BSCS, not Teacher Education) before the dossier is filed. Internal hand-in: descriptions 9 Oct 2026, syllabi 16 Oct 2026. Feeds items 37 and 38.</t>
        </is>
      </c>
    </row>
    <row r="89" s="31">
      <c r="A89" s="2" t="n">
        <v>79</v>
      </c>
      <c r="B89" s="3" t="inlineStr">
        <is>
          <t>Programme-specialised writer allocation, BEED and BSED — publish which full-time faculty writes which education major course, with the internal hand-in dates</t>
        </is>
      </c>
      <c r="C89" s="3" t="inlineStr">
        <is>
          <t>Internal — raised by the Vice Dean, 13 Sep 2026</t>
        </is>
      </c>
      <c r="D89" s="3" t="inlineStr">
        <is>
          <t>Program Chair Kent E. Garcia</t>
        </is>
      </c>
      <c r="E89" s="3" t="inlineStr">
        <is>
          <t>The seven Teacher Education full-time faculty not in the GE pool (Ablaya, Aquino (Agnes), Cajucom, Delos Reyes, Germino, Sta. Cruz, Villamayor); Vice Dean Ken Gie Anthony G. Cruel</t>
        </is>
      </c>
      <c r="F89" s="4" t="n">
        <v>46290</v>
      </c>
      <c r="G89" s="5" t="inlineStr">
        <is>
          <t>Not started</t>
        </is>
      </c>
      <c r="H89" s="6" t="n">
        <v>0</v>
      </c>
      <c r="I89" s="7" t="inlineStr">
        <is>
          <t>The seven Teacher Education faculty in the General Education Syllabi Pool are writing 20 courses for the whole college under item 74 and are deliberately EXCLUDED from this allocation. SEVEN writers remain for the BEED and BSED major courses — Aquino, Agnes M. was moved out of the GE pool on 13 Sep 2026 by direction of the Vice Dean and joins this group, on the heaviest prep count in the department at 7. Sta. Cruz also carries library items 66 to 69 on top of a 27-unit load — weight her share accordingly. Internal hand-in: descriptions 9 Oct 2026, syllabi 16 Oct 2026. Feeds items 55 and 56 (BEED) and 61 and 62 (BSED).</t>
        </is>
      </c>
    </row>
    <row r="90" s="31">
      <c r="A90" s="2" t="n">
        <v>80</v>
      </c>
      <c r="B90" s="3" t="inlineStr">
        <is>
          <t>Programme-specialised writer allocation, BSBA — publish which full-time faculty writes which BSBA major course, over and above the shared cluster courses in item 75</t>
        </is>
      </c>
      <c r="C90" s="3" t="inlineStr">
        <is>
          <t>Internal — raised by the Vice Dean, 13 Sep 2026</t>
        </is>
      </c>
      <c r="D90" s="3" t="inlineStr">
        <is>
          <t>Program Chair Ranilo S. Castillo II</t>
        </is>
      </c>
      <c r="E90" s="3" t="inlineStr">
        <is>
          <t>BSBA full-time faculty (Aquino (Ann Jellie), Bauat, Dela Cruz (Jacqueline), Salas); Vice Dean Ken Gie Anthony G. Cruel</t>
        </is>
      </c>
      <c r="F90" s="4" t="n">
        <v>46290</v>
      </c>
      <c r="G90" s="5" t="inlineStr">
        <is>
          <t>Not started</t>
        </is>
      </c>
      <c r="H90" s="6" t="n">
        <v>0</v>
      </c>
      <c r="I90" s="7" t="inlineStr">
        <is>
          <t>DOUBLE LOAD — the same four faculty write the 13 shared business courses under item 75 AND the BSBA major courses here. After the Vice Dean, this is the heaviest concentration of writing on any group in the college, and all four already carry 24 units. Publish both allocations together so the total per writer is visible, and say which courses the Chair takes himself. Internal hand-in: descriptions 9 Oct 2026, syllabi 16 Oct 2026. Feeds items 31 and 32.</t>
        </is>
      </c>
    </row>
  </sheetData>
  <autoFilter ref="A4:I90"/>
  <mergeCells count="8">
    <mergeCell ref="A15:I15"/>
    <mergeCell ref="A2:I2"/>
    <mergeCell ref="A71:I71"/>
    <mergeCell ref="A5:I5"/>
    <mergeCell ref="A1:I1"/>
    <mergeCell ref="A79:I79"/>
    <mergeCell ref="A8:I8"/>
    <mergeCell ref="A22:I22"/>
  </mergeCells>
  <conditionalFormatting sqref="A5:I90">
    <cfRule type="expression" priority="2" dxfId="7">
      <formula>AND(ISNUMBER($F5),$F5&lt;TODAY(),$G5&lt;&gt;"Done")</formula>
    </cfRule>
    <cfRule type="expression" priority="3" dxfId="6">
      <formula>AND(ISNUMBER($F5),$F5&gt;=TODAY(),$F5&lt;=TODAY()+7,$G5&lt;&gt;"Done")</formula>
    </cfRule>
  </conditionalFormatting>
  <conditionalFormatting sqref="G5:G90">
    <cfRule type="expression" priority="4" dxfId="2">
      <formula>$G5="Done"</formula>
    </cfRule>
    <cfRule type="expression" priority="5" dxfId="0">
      <formula>$G5="For review"</formula>
    </cfRule>
    <cfRule type="expression" priority="6" dxfId="1">
      <formula>$G5="In progress"</formula>
    </cfRule>
  </conditionalFormatting>
  <dataValidations count="1">
    <dataValidation sqref="G5:G90" showDropDown="0" showInputMessage="0" showErrorMessage="0" allowBlank="0" type="list">
      <formula1>"Not started,In progress,For review,Done"</formula1>
    </dataValidation>
  </dataValidations>
  <pageMargins left="0.75" right="0.75" top="1" bottom="1" header="0.511811023622047" footer="0.511811023622047"/>
  <pageSetup orientation="landscape" fitToHeight="0" horizontalDpi="300" verticalDpi="300"/>
</worksheet>
</file>

<file path=xl/worksheets/sheet2.xml><?xml version="1.0" encoding="utf-8"?>
<worksheet xmlns="http://schemas.openxmlformats.org/spreadsheetml/2006/main">
  <sheetPr>
    <outlinePr summaryBelow="1" summaryRight="1"/>
    <pageSetUpPr fitToPage="1"/>
  </sheetPr>
  <dimension ref="A1:E60"/>
  <sheetViews>
    <sheetView zoomScaleNormal="100" workbookViewId="0">
      <pane ySplit="4" topLeftCell="A5" activePane="bottomLeft" state="frozen"/>
      <selection pane="bottomLeft" activeCell="A1" sqref="A1"/>
    </sheetView>
  </sheetViews>
  <sheetFormatPr baseColWidth="10" defaultColWidth="8.6640625" defaultRowHeight="15"/>
  <cols>
    <col width="34" customWidth="1" style="31" min="1" max="1"/>
    <col width="50" customWidth="1" style="31" min="2" max="2"/>
    <col width="28" customWidth="1" style="31" min="3" max="3"/>
    <col width="34" customWidth="1" style="31" min="4" max="4"/>
    <col width="16" customWidth="1" style="31" min="5" max="5"/>
  </cols>
  <sheetData>
    <row r="1" ht="16.25" customHeight="1" s="31">
      <c r="A1" s="32" t="inlineStr">
        <is>
          <t>ASSIGNMENT MATRIX — WHO OWNS WHAT</t>
        </is>
      </c>
    </row>
    <row r="2" ht="33.75" customHeight="1" s="31">
      <c r="A2" s="30" t="inlineStr">
        <is>
          <t>Item numbers refer to the # column on the Tracker sheet. Owner means one person is accountable for delivering that document; Support means they must supply input, but the Owner answers for it. Only full-time faculty are tasked — the 21 part-time faculty remain on the Faculty sheet for checklist item 5.1 and carry no project work, but every faculty member, part-time included, must still lodge their own transcript and contract with HR for items 12 and 13. Because BSA, BSAIS and BSCS have no full-time faculty besides their Chair, manpower is borrowed through two college-wide pools. As of 13 September 2026 every full-time faculty member has a named, answerable task: the 12 pool writers are allocated specific courses below, and the other 15 hold a counted task until their Chair publishes the departmental allocation under items 76 to 80, due 25 September 2026.</t>
        </is>
      </c>
    </row>
    <row r="4" ht="30" customHeight="1" s="31">
      <c r="A4" s="1" t="inlineStr">
        <is>
          <t>Person or Office</t>
        </is>
      </c>
      <c r="B4" s="1" t="inlineStr">
        <is>
          <t>Role in project</t>
        </is>
      </c>
      <c r="C4" s="1" t="inlineStr">
        <is>
          <t>Items owned</t>
        </is>
      </c>
      <c r="D4" s="1" t="inlineStr">
        <is>
          <t>Items supporting</t>
        </is>
      </c>
      <c r="E4" s="1" t="inlineStr">
        <is>
          <t>Nearest due date</t>
        </is>
      </c>
    </row>
    <row r="5" ht="15" customHeight="1" s="31">
      <c r="A5" s="27" t="inlineStr">
        <is>
          <t>LEADS, OFFICES AND PROGRAM CHAIRS</t>
        </is>
      </c>
      <c r="B5" s="28" t="n"/>
      <c r="C5" s="28" t="n"/>
      <c r="D5" s="28" t="n"/>
      <c r="E5" s="29" t="n"/>
    </row>
    <row r="6" ht="46.25" customHeight="1" s="31">
      <c r="A6" s="8" t="inlineStr">
        <is>
          <t>Vice Dean Ken Gie Anthony G. Cruel</t>
        </is>
      </c>
      <c r="B6" s="8" t="inlineStr">
        <is>
          <t>Co-Lead, CHED Application Task Force; Program Chair for BSA and BSAIS; overall compliance audit and filing. Sole full-time author for the programme-specialised accountancy and AIS courses — see Open Item 9</t>
        </is>
      </c>
      <c r="C6" s="8" t="inlineStr">
        <is>
          <t>16 items: #2–3, 15–26, 71–72</t>
        </is>
      </c>
      <c r="D6" s="8" t="inlineStr">
        <is>
          <t>53 items: #1, 4, 6, 8–9, 11–12, 27–62, 67, 70, 73–80</t>
        </is>
      </c>
      <c r="E6" s="9">
        <f>IF(COUNTIFS(Tracker!$D$5:$D$90,$A6,Tracker!$G$5:$G$90,"&lt;&gt;Done")=0,"—",_xlfn.MINIFS(Tracker!$F$5:$F$90,Tracker!$D$5:$D$90,$A6,Tracker!$G$5:$G$90,"&lt;&gt;Done"))</f>
        <v/>
      </c>
    </row>
    <row r="7" ht="57.5" customHeight="1" s="31">
      <c r="A7" s="8" t="inlineStr">
        <is>
          <t>MIS Head Jayson R. Francisco</t>
        </is>
      </c>
      <c r="B7" s="8" t="inlineStr">
        <is>
          <t>Co-Lead, CHED Application Task Force; owner of the transmittal letter and minutes package (item 1, transferred 3 Sep 2026); chairs the Feasibility &amp; Market Study Committee; document repository and binder assembly; carries the outstanding CHED Region III questions (item 73)</t>
        </is>
      </c>
      <c r="C7" s="8" t="inlineStr">
        <is>
          <t>6 items: #1, 4–6, 70, 73</t>
        </is>
      </c>
      <c r="D7" s="8" t="inlineStr">
        <is>
          <t>50 items: #7, 15–62, 72</t>
        </is>
      </c>
      <c r="E7" s="9">
        <f>IF(COUNTIFS(Tracker!$D$5:$D$90,$A7,Tracker!$G$5:$G$90,"&lt;&gt;Done")=0,"—",_xlfn.MINIFS(Tracker!$F$5:$F$90,Tracker!$D$5:$D$90,$A7,Tracker!$G$5:$G$90,"&lt;&gt;Done"))</f>
        <v/>
      </c>
    </row>
    <row r="8" ht="46.25" customHeight="1" s="31">
      <c r="A8" s="3" t="inlineStr">
        <is>
          <t>VPAA / VP Admin &amp; Finance Dr. Raquel T. Sta. Ines</t>
        </is>
      </c>
      <c r="B8" s="3" t="inlineStr">
        <is>
          <t>Presiding officer, Council of Program Chairs; signatory and approving authority; also holds the VP for Administration and Finance portfolio, so the non-teaching personnel list and the school location report sit with her office</t>
        </is>
      </c>
      <c r="C8" s="3" t="inlineStr">
        <is>
          <t>2 items: #7, 14</t>
        </is>
      </c>
      <c r="D8" s="3" t="inlineStr">
        <is>
          <t>7 items: #1, 3, 10, 13, 64–65, 71</t>
        </is>
      </c>
      <c r="E8" s="4">
        <f>IF(COUNTIFS(Tracker!$D$5:$D$90,$A8,Tracker!$G$5:$G$90,"&lt;&gt;Done")=0,"—",_xlfn.MINIFS(Tracker!$F$5:$F$90,Tracker!$D$5:$D$90,$A8,Tracker!$G$5:$G$90,"&lt;&gt;Done"))</f>
        <v/>
      </c>
    </row>
    <row r="9" ht="46.25" customHeight="1" s="31">
      <c r="A9" s="3" t="inlineStr">
        <is>
          <t>Dean Dr. Almario B. Garcia</t>
        </is>
      </c>
      <c r="B9" s="3" t="inlineStr">
        <is>
          <t>Co-Lead, CHED Application Task Force (added 3 Sep 2026 by direction of the Vice Dean, alongside the Vice Dean and the MIS Head); College Dean; executive endorsement of the completed dossier</t>
        </is>
      </c>
      <c r="C9" s="3" t="inlineStr">
        <is>
          <t>None — support role only</t>
        </is>
      </c>
      <c r="D9" s="3" t="inlineStr">
        <is>
          <t>1 item: #71</t>
        </is>
      </c>
      <c r="E9" s="4">
        <f>IF(COUNTIFS(Tracker!$D$5:$D$90,$A9,Tracker!$G$5:$G$90,"&lt;&gt;Done")=0,"—",_xlfn.MINIFS(Tracker!$F$5:$F$90,Tracker!$D$5:$D$90,$A9,Tracker!$G$5:$G$90,"&lt;&gt;Done"))</f>
        <v/>
      </c>
    </row>
    <row r="10" ht="15" customHeight="1" s="31">
      <c r="A10" s="3" t="inlineStr">
        <is>
          <t>HR Officer Ellarein Richelle Dela Cruz</t>
        </is>
      </c>
      <c r="B10" s="3" t="inlineStr">
        <is>
          <t>Owner of all administrator, faculty and personnel records</t>
        </is>
      </c>
      <c r="C10" s="3" t="inlineStr">
        <is>
          <t>5 items: #9–13</t>
        </is>
      </c>
      <c r="D10" s="3" t="inlineStr">
        <is>
          <t>2 items: #14, 63</t>
        </is>
      </c>
      <c r="E10" s="4">
        <f>IF(COUNTIFS(Tracker!$D$5:$D$90,$A10,Tracker!$G$5:$G$90,"&lt;&gt;Done")=0,"—",_xlfn.MINIFS(Tracker!$F$5:$F$90,Tracker!$D$5:$D$90,$A10,Tracker!$G$5:$G$90,"&lt;&gt;Done"))</f>
        <v/>
      </c>
    </row>
    <row r="11" ht="23.75" customHeight="1" s="31">
      <c r="A11" s="3" t="inlineStr">
        <is>
          <t>Library Lead Annabelle Pastrana</t>
        </is>
      </c>
      <c r="B11" s="3" t="inlineStr">
        <is>
          <t>Acting Library Lead — owner of the complete library section; chairs the Library Collection Committee</t>
        </is>
      </c>
      <c r="C11" s="3" t="inlineStr">
        <is>
          <t>7 items: #63–69</t>
        </is>
      </c>
      <c r="D11" s="3" t="inlineStr">
        <is>
          <t>—</t>
        </is>
      </c>
      <c r="E11" s="4">
        <f>IF(COUNTIFS(Tracker!$D$5:$D$90,$A11,Tracker!$G$5:$G$90,"&lt;&gt;Done")=0,"—",_xlfn.MINIFS(Tracker!$F$5:$F$90,Tracker!$D$5:$D$90,$A11,Tracker!$G$5:$G$90,"&lt;&gt;Done"))</f>
        <v/>
      </c>
    </row>
    <row r="12" ht="46.25" customHeight="1" s="31">
      <c r="A12" s="3" t="inlineStr">
        <is>
          <t>Program Chair Kent E. Garcia</t>
        </is>
      </c>
      <c r="B12" s="3" t="inlineStr">
        <is>
          <t>Program Chair, Teacher Education — BEED and BSED curriculum; chairs their Curriculum &amp; Syllabi Committee; his department supplies the General Education Syllabi Pool for the whole college; LEAD of the General Education Syllabi Pool (item 74) — allocates the 20 shared courses across its 8 writers, issues the common syllabus template, sets the internal hand-in dates and reports slippage to the Vice Dean</t>
        </is>
      </c>
      <c r="C12" s="3" t="inlineStr">
        <is>
          <t>14 items: #51–62, 74, 79</t>
        </is>
      </c>
      <c r="D12" s="3" t="inlineStr">
        <is>
          <t>6 items: #2, 4, 6, 11–12, 67</t>
        </is>
      </c>
      <c r="E12" s="4">
        <f>IF(COUNTIFS(Tracker!$D$5:$D$90,$A12,Tracker!$G$5:$G$90,"&lt;&gt;Done")=0,"—",_xlfn.MINIFS(Tracker!$F$5:$F$90,Tracker!$D$5:$D$90,$A12,Tracker!$G$5:$G$90,"&lt;&gt;Done"))</f>
        <v/>
      </c>
    </row>
    <row r="13" ht="35" customHeight="1" s="31">
      <c r="A13" s="3" t="inlineStr">
        <is>
          <t>Program Chair Ranilo S. Castillo II</t>
        </is>
      </c>
      <c r="B13" s="3" t="inlineStr">
        <is>
          <t>Program Chair, Business Administration — BSBA curriculum; his department supplies the Business Cluster Pool for BSA, BSAIS and BSHM; LEAD of the Business Cluster Pool (item 75) — fixes the definitive shared-course list, allocates it across its 4 writers, sets the internal hand-in dates and reports slippage to the Vice Dean</t>
        </is>
      </c>
      <c r="C13" s="3" t="inlineStr">
        <is>
          <t>8 items: #27–32, 75, 80</t>
        </is>
      </c>
      <c r="D13" s="3" t="inlineStr">
        <is>
          <t>7 items: #2, 4, 6, 11–12, 67, 74</t>
        </is>
      </c>
      <c r="E13" s="4">
        <f>IF(COUNTIFS(Tracker!$D$5:$D$90,$A13,Tracker!$G$5:$G$90,"&lt;&gt;Done")=0,"—",_xlfn.MINIFS(Tracker!$F$5:$F$90,Tracker!$D$5:$D$90,$A13,Tracker!$G$5:$G$90,"&lt;&gt;Done"))</f>
        <v/>
      </c>
    </row>
    <row r="14" ht="35" customHeight="1" s="31">
      <c r="A14" s="3" t="inlineStr">
        <is>
          <t>Program Chair John Philip N. Diamat</t>
        </is>
      </c>
      <c r="B14" s="3" t="inlineStr">
        <is>
          <t>Program Chair, Computer Science — BSCS curriculum. Sole full-time author for the programme-specialised computer science courses — see Open Item 9</t>
        </is>
      </c>
      <c r="C14" s="3" t="inlineStr">
        <is>
          <t>7 items: #33–38, 78</t>
        </is>
      </c>
      <c r="D14" s="3" t="inlineStr">
        <is>
          <t>7 items: #2, 4, 6, 11–12, 67, 74</t>
        </is>
      </c>
      <c r="E14" s="4">
        <f>IF(COUNTIFS(Tracker!$D$5:$D$90,$A14,Tracker!$G$5:$G$90,"&lt;&gt;Done")=0,"—",_xlfn.MINIFS(Tracker!$F$5:$F$90,Tracker!$D$5:$D$90,$A14,Tracker!$G$5:$G$90,"&lt;&gt;Done"))</f>
        <v/>
      </c>
    </row>
    <row r="15" ht="23.75" customHeight="1" s="31">
      <c r="A15" s="3" t="inlineStr">
        <is>
          <t>Program Chair Stephanie S. Ciasico</t>
        </is>
      </c>
      <c r="B15" s="3" t="inlineStr">
        <is>
          <t>Program Chair, Hospitality Management — BSHM curriculum; chairs its Curriculum &amp; Syllabi Committee</t>
        </is>
      </c>
      <c r="C15" s="3" t="inlineStr">
        <is>
          <t>7 items: #39–44, 77</t>
        </is>
      </c>
      <c r="D15" s="3" t="inlineStr">
        <is>
          <t>8 items: #2, 4, 6, 11–12, 67, 74–75</t>
        </is>
      </c>
      <c r="E15" s="4">
        <f>IF(COUNTIFS(Tracker!$D$5:$D$90,$A15,Tracker!$G$5:$G$90,"&lt;&gt;Done")=0,"—",_xlfn.MINIFS(Tracker!$F$5:$F$90,Tracker!$D$5:$D$90,$A15,Tracker!$G$5:$G$90,"&lt;&gt;Done"))</f>
        <v/>
      </c>
    </row>
    <row r="16" ht="23.75" customHeight="1" s="31">
      <c r="A16" s="3" t="inlineStr">
        <is>
          <t>Program Chair Samantha Rose C. Pisto</t>
        </is>
      </c>
      <c r="B16" s="3" t="inlineStr">
        <is>
          <t>Program Chair, Criminal Justice Education — BSCRIM curriculum; chairs its Curriculum &amp; Syllabi Committee</t>
        </is>
      </c>
      <c r="C16" s="3" t="inlineStr">
        <is>
          <t>7 items: #45–50, 76</t>
        </is>
      </c>
      <c r="D16" s="3" t="inlineStr">
        <is>
          <t>7 items: #2, 4, 6, 11–12, 67, 74</t>
        </is>
      </c>
      <c r="E16" s="4">
        <f>IF(COUNTIFS(Tracker!$D$5:$D$90,$A16,Tracker!$G$5:$G$90,"&lt;&gt;Done")=0,"—",_xlfn.MINIFS(Tracker!$F$5:$F$90,Tracker!$D$5:$D$90,$A16,Tracker!$G$5:$G$90,"&lt;&gt;Done"))</f>
        <v/>
      </c>
    </row>
    <row r="17" ht="15" customHeight="1" s="31">
      <c r="A17" s="3" t="inlineStr">
        <is>
          <t>Finance Officer Dana Marcelo</t>
        </is>
      </c>
      <c r="B17" s="3" t="inlineStr">
        <is>
          <t>Trimestral tuition and fee schedule</t>
        </is>
      </c>
      <c r="C17" s="3" t="inlineStr">
        <is>
          <t>1 item: #8</t>
        </is>
      </c>
      <c r="D17" s="3" t="inlineStr">
        <is>
          <t>—</t>
        </is>
      </c>
      <c r="E17" s="4">
        <f>IF(COUNTIFS(Tracker!$D$5:$D$90,$A17,Tracker!$G$5:$G$90,"&lt;&gt;Done")=0,"—",_xlfn.MINIFS(Tracker!$F$5:$F$90,Tracker!$D$5:$D$90,$A17,Tracker!$G$5:$G$90,"&lt;&gt;Done"))</f>
        <v/>
      </c>
    </row>
    <row r="18" ht="23.75" customHeight="1" s="31">
      <c r="A18" s="3" t="inlineStr">
        <is>
          <t>Registrar Laila D. Sarmiento</t>
        </is>
      </c>
      <c r="B18" s="3" t="inlineStr">
        <is>
          <t>Enrolment and prospective-student data for the feasibility study</t>
        </is>
      </c>
      <c r="C18" s="3" t="inlineStr">
        <is>
          <t>None — support role only</t>
        </is>
      </c>
      <c r="D18" s="3" t="inlineStr">
        <is>
          <t>1 item: #5</t>
        </is>
      </c>
      <c r="E18" s="4">
        <f>IF(COUNTIFS(Tracker!$D$5:$D$90,$A18,Tracker!$G$5:$G$90,"&lt;&gt;Done")=0,"—",_xlfn.MINIFS(Tracker!$F$5:$F$90,Tracker!$D$5:$D$90,$A18,Tracker!$G$5:$G$90,"&lt;&gt;Done"))</f>
        <v/>
      </c>
    </row>
    <row r="19" ht="15" customHeight="1" s="31">
      <c r="A19" s="34" t="inlineStr">
        <is>
          <t>ACCOUNTANCY &amp; AIS — Curriculum &amp; Syllabi Committee for BSA and BSAIS (chaired by Vice Dean Cruel)  (NO full-time faculty besides the Chair; 5 part-time not tasked)</t>
        </is>
      </c>
      <c r="B19" s="28" t="n"/>
      <c r="C19" s="28" t="n"/>
      <c r="D19" s="28" t="n"/>
      <c r="E19" s="29" t="n"/>
    </row>
    <row r="20" ht="57.5" customHeight="1" s="31">
      <c r="A20" s="10" t="inlineStr">
        <is>
          <t>Francisco, Josephine Rose, CPA</t>
        </is>
      </c>
      <c r="B20" s="10" t="inlineStr">
        <is>
          <t>Named in the Proposed Faculty Loading, First Year Trimesters 1–3 — teaches AE13-FAR Financial Accounting and Reporting (T1), AE14-CFAS Conceptual Framework and Accounting Standards (T2). Writes the course description and outcomes-based syllabus for those courses.</t>
        </is>
      </c>
      <c r="C20" s="10" t="inlineStr">
        <is>
          <t>None — support role only</t>
        </is>
      </c>
      <c r="D20" s="10" t="inlineStr">
        <is>
          <t>4 items: #19–20, 25–26</t>
        </is>
      </c>
      <c r="E20" s="11" t="inlineStr">
        <is>
          <t>—</t>
        </is>
      </c>
    </row>
    <row r="21" ht="15" customHeight="1" s="31">
      <c r="A21" s="10" t="inlineStr">
        <is>
          <t>Empay, Jan Rhommer, CPA</t>
        </is>
      </c>
      <c r="B21" s="10" t="inlineStr">
        <is>
          <t>Named in the Proposed Faculty Loading, First Year Trimesters 1–3 — teaches CBME 1 Operations Management and TQM (T1), AE1-BL1 Law on Obligations and Contracts (T3). Writes the course description and outcomes-based syllabus for those courses.</t>
        </is>
      </c>
      <c r="C21" s="10" t="inlineStr">
        <is>
          <t>None — support role only</t>
        </is>
      </c>
      <c r="D21" s="10" t="inlineStr">
        <is>
          <t>4 items: #19–20, 25–26</t>
        </is>
      </c>
    </row>
    <row r="22" ht="35" customHeight="1" s="31">
      <c r="A22" s="10" t="inlineStr">
        <is>
          <t>Santiago, Decirae Nicole, CPA</t>
        </is>
      </c>
      <c r="B22" s="10" t="inlineStr">
        <is>
          <t>Named in the Proposed Faculty Loading, First Year Trimesters 1–3 — teaches AE4-MGT1 Management Science (T3). Writes the course description and outcomes-based syllabus for those courses.</t>
        </is>
      </c>
      <c r="C22" s="10" t="inlineStr">
        <is>
          <t>None — support role only</t>
        </is>
      </c>
      <c r="D22" s="10" t="inlineStr">
        <is>
          <t>4 items: #19–20, 25–26</t>
        </is>
      </c>
    </row>
    <row r="23" ht="35" customHeight="1" s="31">
      <c r="A23" s="10" t="inlineStr">
        <is>
          <t>Cruz, Rommel, CPA</t>
        </is>
      </c>
      <c r="B23" s="10" t="inlineStr">
        <is>
          <t>Named in the Proposed Faculty Loading, First Year Trimesters 1–3 — teaches AE19-FINMGT Financial Management (T3). Writes the course description and outcomes-based syllabus for those courses.</t>
        </is>
      </c>
      <c r="C23" s="10" t="inlineStr">
        <is>
          <t>None — support role only</t>
        </is>
      </c>
      <c r="D23" s="10" t="inlineStr">
        <is>
          <t>4 items: #19–20, 25–26</t>
        </is>
      </c>
    </row>
    <row r="24" ht="35" customHeight="1" s="31">
      <c r="A24" s="10" t="inlineStr">
        <is>
          <t>— still no full-time faculty besides the Chair —</t>
        </is>
      </c>
      <c r="B24" s="10" t="inlineStr">
        <is>
          <t>The four above are part-time. The General Education, PE, NSTP and CLE courses of the First Year loading are written by the pool writers listed under Teacher Education and Criminal Justice Education. The Article VI full-time faculty requirement is still open — see Open Item 9.</t>
        </is>
      </c>
      <c r="C24" s="10" t="inlineStr">
        <is>
          <t>—</t>
        </is>
      </c>
      <c r="D24" s="10" t="inlineStr">
        <is>
          <t>—</t>
        </is>
      </c>
    </row>
    <row r="25" ht="35" customHeight="1" s="31">
      <c r="A25" s="27" t="inlineStr">
        <is>
          <t>BUSINESS ADMINISTRATION — Curriculum &amp; Syllabi Committee for BSBA (chaired by Chair Castillo)  (4 full-time faculty tasked; 1 part-time not tasked)</t>
        </is>
      </c>
      <c r="B25" s="28" t="n"/>
      <c r="C25" s="28" t="n"/>
      <c r="D25" s="28" t="n"/>
      <c r="E25" s="29" t="n"/>
    </row>
    <row r="26" ht="15" customHeight="1" s="31">
      <c r="A26" s="3" t="inlineStr">
        <is>
          <t>Aquino, Ann Jellie B.</t>
        </is>
      </c>
      <c r="B26" s="3" t="inlineStr">
        <is>
          <t>Business Cluster Pool writer (item 75) — writes the course description AND the OBE syllabus for 3 courses: AE11-ECO1 Managerial Economics; AE12-ECO2 Economic Development; AE5-IBT International Business and Trade. 6 documents, one set serving BSA, BSAIS, BSBA and BSHM. Candidate list, to be confirmed by Chair Castillo against the BSBA and BSHM prospectuses. To Chair Castillo: descriptions 9 Oct, syllabi 16 Oct 2026. Also Curriculum &amp; Syllabi — BSBA, and a share of the BSBA major courses under item 80.  [FT, 24 units, 6 preps this semester]</t>
        </is>
      </c>
      <c r="C26" s="3" t="inlineStr">
        <is>
          <t>None — support role only</t>
        </is>
      </c>
      <c r="D26" s="3" t="inlineStr">
        <is>
          <t>13 items: #4–6, 19–20, 25–26, 31–32, 43–44, 75, 80</t>
        </is>
      </c>
      <c r="E26" s="4">
        <f>IF(MIN(IF(Tracker!$G$10="Done",99999,Tracker!$F$10),IF(Tracker!$G$11="Done",99999,Tracker!$F$11),IF(Tracker!$G$12="Done",99999,Tracker!$F$12),IF(Tracker!$G$27="Done",99999,Tracker!$F$27),IF(Tracker!$G$28="Done",99999,Tracker!$F$28),IF(Tracker!$G$33="Done",99999,Tracker!$F$33),IF(Tracker!$G$34="Done",99999,Tracker!$F$34),IF(Tracker!$G$39="Done",99999,Tracker!$F$39),IF(Tracker!$G$40="Done",99999,Tracker!$F$40),IF(Tracker!$G$51="Done",99999,Tracker!$F$51),IF(Tracker!$G$52="Done",99999,Tracker!$F$52))=99999,"—",MIN(IF(Tracker!$G$10="Done",99999,Tracker!$F$10),IF(Tracker!$G$11="Done",99999,Tracker!$F$11),IF(Tracker!$G$12="Done",99999,Tracker!$F$12),IF(Tracker!$G$27="Done",99999,Tracker!$F$27),IF(Tracker!$G$28="Done",99999,Tracker!$F$28),IF(Tracker!$G$33="Done",99999,Tracker!$F$33),IF(Tracker!$G$34="Done",99999,Tracker!$F$34),IF(Tracker!$G$39="Done",99999,Tracker!$F$39),IF(Tracker!$G$40="Done",99999,Tracker!$F$40),IF(Tracker!$G$51="Done",99999,Tracker!$F$51),IF(Tracker!$G$52="Done",99999,Tracker!$F$52)))</f>
        <v/>
      </c>
    </row>
    <row r="27" ht="23.75" customHeight="1" s="31">
      <c r="A27" s="3" t="inlineStr">
        <is>
          <t>Bauat, Jhosalyn</t>
        </is>
      </c>
      <c r="B27" s="3" t="inlineStr">
        <is>
          <t>Business Cluster Pool writer (item 75) — writes the course description AND the OBE syllabus for 4 courses: CBME 1 Operations Management and TQM; CBME 2 Strategic Management; AE4-MGT1 Management Science; PE1-HBO Human Behavior in Organizations. 8 documents, one set serving BSA, BSAIS, BSBA and BSHM. Candidate list, to be confirmed by Chair Castillo against the BSBA and BSHM prospectuses. To Chair Castillo: descriptions 9 Oct, syllabi 16 Oct 2026. Also Curriculum &amp; Syllabi — BSBA, and a share of the BSBA major courses under item 80.  [FT, 24 units, 6 preps this semester]</t>
        </is>
      </c>
      <c r="C27" s="3" t="inlineStr">
        <is>
          <t>None — support role only</t>
        </is>
      </c>
      <c r="D27" s="3" t="inlineStr">
        <is>
          <t>10 items: #19–20, 25–26, 31–32, 43–44, 75, 80</t>
        </is>
      </c>
      <c r="E27" s="4">
        <f>IF(MIN(IF(Tracker!$G$27="Done",99999,Tracker!$F$27),IF(Tracker!$G$28="Done",99999,Tracker!$F$28),IF(Tracker!$G$33="Done",99999,Tracker!$F$33),IF(Tracker!$G$34="Done",99999,Tracker!$F$34),IF(Tracker!$G$39="Done",99999,Tracker!$F$39),IF(Tracker!$G$40="Done",99999,Tracker!$F$40),IF(Tracker!$G$51="Done",99999,Tracker!$F$51),IF(Tracker!$G$52="Done",99999,Tracker!$F$52))=99999,"—",MIN(IF(Tracker!$G$27="Done",99999,Tracker!$F$27),IF(Tracker!$G$28="Done",99999,Tracker!$F$28),IF(Tracker!$G$33="Done",99999,Tracker!$F$33),IF(Tracker!$G$34="Done",99999,Tracker!$F$34),IF(Tracker!$G$39="Done",99999,Tracker!$F$39),IF(Tracker!$G$40="Done",99999,Tracker!$F$40),IF(Tracker!$G$51="Done",99999,Tracker!$F$51),IF(Tracker!$G$52="Done",99999,Tracker!$F$52)))</f>
        <v/>
      </c>
    </row>
    <row r="28" ht="23.75" customHeight="1" s="31">
      <c r="A28" s="3" t="inlineStr">
        <is>
          <t>Dela Cruz, Jacqueline</t>
        </is>
      </c>
      <c r="B28" s="3" t="inlineStr">
        <is>
          <t>Business Cluster Pool writer (item 75) — writes the course description AND the OBE syllabus for 3 courses: AE19-FINMGT Financial Management; AE18-FINMKT Financial Markets; AE10-GOV Governance, Business Ethics, Risk Management and Internal Control. 6 documents, one set serving BSA, BSAIS, BSBA and BSHM. Candidate list, to be confirmed by Chair Castillo against the BSBA and BSHM prospectuses. To Chair Castillo: descriptions 9 Oct, syllabi 16 Oct 2026. Also Curriculum &amp; Syllabi — BSBA, and a share of the BSBA major courses under item 80.  [FT, 24 units, 5 preps this semester]</t>
        </is>
      </c>
      <c r="C28" s="3" t="inlineStr">
        <is>
          <t>None — support role only</t>
        </is>
      </c>
      <c r="D28" s="3" t="inlineStr">
        <is>
          <t>12 items: #19–20, 25–26, 31–32, 43–44, 66–67, 75, 80</t>
        </is>
      </c>
      <c r="E28" s="4">
        <f>IF(MIN(IF(Tracker!$G$27="Done",99999,Tracker!$F$27),IF(Tracker!$G$28="Done",99999,Tracker!$F$28),IF(Tracker!$G$33="Done",99999,Tracker!$F$33),IF(Tracker!$G$34="Done",99999,Tracker!$F$34),IF(Tracker!$G$39="Done",99999,Tracker!$F$39),IF(Tracker!$G$40="Done",99999,Tracker!$F$40),IF(Tracker!$G$51="Done",99999,Tracker!$F$51),IF(Tracker!$G$52="Done",99999,Tracker!$F$52),IF(Tracker!$G$75="Done",99999,Tracker!$F$75),IF(Tracker!$G$76="Done",99999,Tracker!$F$76))=99999,"—",MIN(IF(Tracker!$G$27="Done",99999,Tracker!$F$27),IF(Tracker!$G$28="Done",99999,Tracker!$F$28),IF(Tracker!$G$33="Done",99999,Tracker!$F$33),IF(Tracker!$G$34="Done",99999,Tracker!$F$34),IF(Tracker!$G$39="Done",99999,Tracker!$F$39),IF(Tracker!$G$40="Done",99999,Tracker!$F$40),IF(Tracker!$G$51="Done",99999,Tracker!$F$51),IF(Tracker!$G$52="Done",99999,Tracker!$F$52),IF(Tracker!$G$75="Done",99999,Tracker!$F$75),IF(Tracker!$G$76="Done",99999,Tracker!$F$76)))</f>
        <v/>
      </c>
    </row>
    <row r="29" ht="23.75" customHeight="1" s="31">
      <c r="A29" s="3" t="inlineStr">
        <is>
          <t>Salas, Kristine Joy</t>
        </is>
      </c>
      <c r="B29" s="3" t="inlineStr">
        <is>
          <t>Business Cluster Pool writer (item 75) — writes the course description AND the OBE syllabus for 3 courses: AE1-BL1 Law on Obligations and Contracts; AE2-BL2 Business Laws and Regulations; AE3-BL3 Regulatory Framework and Legal Issues in Business. 6 documents, one set serving BSA, BSAIS, BSBA and BSHM. Candidate list, to be confirmed by Chair Castillo against the BSBA and BSHM prospectuses. To Chair Castillo: descriptions 9 Oct, syllabi 16 Oct 2026. Also Curriculum &amp; Syllabi — BSBA, and a share of the BSBA major courses under item 80.  [FT, 24 units, 6 preps this semester]</t>
        </is>
      </c>
      <c r="C29" s="3" t="inlineStr">
        <is>
          <t>None — support role only</t>
        </is>
      </c>
      <c r="D29" s="3" t="inlineStr">
        <is>
          <t>10 items: #19–20, 25–26, 31–32, 43–44, 75, 80</t>
        </is>
      </c>
      <c r="E29" s="4">
        <f>IF(MIN(IF(Tracker!$G$27="Done",99999,Tracker!$F$27),IF(Tracker!$G$28="Done",99999,Tracker!$F$28),IF(Tracker!$G$33="Done",99999,Tracker!$F$33),IF(Tracker!$G$34="Done",99999,Tracker!$F$34),IF(Tracker!$G$39="Done",99999,Tracker!$F$39),IF(Tracker!$G$40="Done",99999,Tracker!$F$40),IF(Tracker!$G$51="Done",99999,Tracker!$F$51),IF(Tracker!$G$52="Done",99999,Tracker!$F$52))=99999,"—",MIN(IF(Tracker!$G$27="Done",99999,Tracker!$F$27),IF(Tracker!$G$28="Done",99999,Tracker!$F$28),IF(Tracker!$G$33="Done",99999,Tracker!$F$33),IF(Tracker!$G$34="Done",99999,Tracker!$F$34),IF(Tracker!$G$39="Done",99999,Tracker!$F$39),IF(Tracker!$G$40="Done",99999,Tracker!$F$40),IF(Tracker!$G$51="Done",99999,Tracker!$F$51),IF(Tracker!$G$52="Done",99999,Tracker!$F$52)))</f>
        <v/>
      </c>
    </row>
    <row r="30" ht="23.75" customHeight="1" s="31">
      <c r="A30" s="27" t="inlineStr">
        <is>
          <t>CRIMINAL JUSTICE EDUCATION — Curriculum &amp; Syllabi Committee for BSCRIM (chaired by Chair Pisto)  (5 full-time faculty tasked; 1 part-time not tasked)</t>
        </is>
      </c>
      <c r="B30" s="28" t="n"/>
      <c r="C30" s="28" t="n"/>
      <c r="D30" s="28" t="n"/>
      <c r="E30" s="29" t="n"/>
    </row>
    <row r="31" ht="23.75" customHeight="1" s="31">
      <c r="A31" s="3" t="inlineStr">
        <is>
          <t>Arimbuyutan, Jazzele M.</t>
        </is>
      </c>
      <c r="B31" s="3" t="inlineStr">
        <is>
          <t>Curriculum &amp; Syllabi — BSCRIM; Feasibility &amp; Market Study  [FT, 21 units, 4 preps this semester]</t>
        </is>
      </c>
      <c r="C31" s="3" t="inlineStr">
        <is>
          <t>None — support role only</t>
        </is>
      </c>
      <c r="D31" s="3" t="inlineStr">
        <is>
          <t>6 items: #4–6, 49–50, 76</t>
        </is>
      </c>
      <c r="E31" s="4">
        <f>IF(MIN(IF(Tracker!$G$10="Done",99999,Tracker!$F$10),IF(Tracker!$G$11="Done",99999,Tracker!$F$11),IF(Tracker!$G$12="Done",99999,Tracker!$F$12),IF(Tracker!$G$57="Done",99999,Tracker!$F$57),IF(Tracker!$G$58="Done",99999,Tracker!$F$58))=99999,"—",MIN(IF(Tracker!$G$10="Done",99999,Tracker!$F$10),IF(Tracker!$G$11="Done",99999,Tracker!$F$11),IF(Tracker!$G$12="Done",99999,Tracker!$F$12),IF(Tracker!$G$57="Done",99999,Tracker!$F$57),IF(Tracker!$G$58="Done",99999,Tracker!$F$58)))</f>
        <v/>
      </c>
    </row>
    <row r="32" ht="15" customHeight="1" s="31">
      <c r="A32" s="3" t="inlineStr">
        <is>
          <t>Dela Cruz, Jhon Allen R.</t>
        </is>
      </c>
      <c r="B32" s="3" t="inlineStr">
        <is>
          <t>Curriculum &amp; Syllabi — BSCRIM  [FT, 22 units, 5 preps this semester]</t>
        </is>
      </c>
      <c r="C32" s="3" t="inlineStr">
        <is>
          <t>None — support role only</t>
        </is>
      </c>
      <c r="D32" s="3" t="inlineStr">
        <is>
          <t>3 items: #49–50, 76</t>
        </is>
      </c>
      <c r="E32" s="4">
        <f>IF(MIN(IF(Tracker!$G$57="Done",99999,Tracker!$F$57),IF(Tracker!$G$58="Done",99999,Tracker!$F$58))=99999,"—",MIN(IF(Tracker!$G$57="Done",99999,Tracker!$F$57),IF(Tracker!$G$58="Done",99999,Tracker!$F$58)))</f>
        <v/>
      </c>
    </row>
    <row r="33" ht="23.75" customHeight="1" s="31">
      <c r="A33" s="3" t="inlineStr">
        <is>
          <t>Diaz, Pamela B.</t>
        </is>
      </c>
      <c r="B33" s="3" t="inlineStr">
        <is>
          <t>Curriculum &amp; Syllabi — BSCRIM  [FT, 22 units, 5 preps this semester]</t>
        </is>
      </c>
      <c r="C33" s="3" t="inlineStr">
        <is>
          <t>None — support role only</t>
        </is>
      </c>
      <c r="D33" s="3" t="inlineStr">
        <is>
          <t>3 items: #49–50, 76</t>
        </is>
      </c>
      <c r="E33" s="4">
        <f>IF(MIN(IF(Tracker!$G$57="Done",99999,Tracker!$F$57),IF(Tracker!$G$58="Done",99999,Tracker!$F$58))=99999,"—",MIN(IF(Tracker!$G$57="Done",99999,Tracker!$F$57),IF(Tracker!$G$58="Done",99999,Tracker!$F$58)))</f>
        <v/>
      </c>
    </row>
    <row r="34" ht="15" customHeight="1" s="31">
      <c r="A34" s="3" t="inlineStr">
        <is>
          <t>Pamiloza, Honey Mica R.</t>
        </is>
      </c>
      <c r="B34" s="3" t="inlineStr">
        <is>
          <t>Curriculum &amp; Syllabi — BSCRIM  [FT, 21 units, 4 preps this semester]</t>
        </is>
      </c>
      <c r="C34" s="3" t="inlineStr">
        <is>
          <t>None — support role only</t>
        </is>
      </c>
      <c r="D34" s="3" t="inlineStr">
        <is>
          <t>3 items: #49–50, 76</t>
        </is>
      </c>
      <c r="E34" s="4">
        <f>IF(MIN(IF(Tracker!$G$57="Done",99999,Tracker!$F$57),IF(Tracker!$G$58="Done",99999,Tracker!$F$58))=99999,"—",MIN(IF(Tracker!$G$57="Done",99999,Tracker!$F$57),IF(Tracker!$G$58="Done",99999,Tracker!$F$58)))</f>
        <v/>
      </c>
    </row>
    <row r="35" ht="23.75" customHeight="1" s="31">
      <c r="A35" s="3" t="inlineStr">
        <is>
          <t>Ramos, Leandro M.</t>
        </is>
      </c>
      <c r="B35" s="3" t="inlineStr">
        <is>
          <t>Curriculum &amp; Syllabi — BSCRIM; Library Collection  [FT, 18 units, 4 preps this semester]</t>
        </is>
      </c>
      <c r="C35" s="3" t="inlineStr">
        <is>
          <t>None — support role only</t>
        </is>
      </c>
      <c r="D35" s="3" t="inlineStr">
        <is>
          <t>5 items: #49–50, 66–67, 76</t>
        </is>
      </c>
      <c r="E35" s="4">
        <f>IF(MIN(IF(Tracker!$G$57="Done",99999,Tracker!$F$57),IF(Tracker!$G$58="Done",99999,Tracker!$F$58),IF(Tracker!$G$75="Done",99999,Tracker!$F$75),IF(Tracker!$G$76="Done",99999,Tracker!$F$76))=99999,"—",MIN(IF(Tracker!$G$57="Done",99999,Tracker!$F$57),IF(Tracker!$G$58="Done",99999,Tracker!$F$58),IF(Tracker!$G$75="Done",99999,Tracker!$F$75),IF(Tracker!$G$76="Done",99999,Tracker!$F$76)))</f>
        <v/>
      </c>
    </row>
    <row r="36" ht="23.75" customHeight="1" s="31">
      <c r="A36" s="27" t="inlineStr">
        <is>
          <t>COMPUTER SCIENCE — Curriculum &amp; Syllabi Committee for BSCS (chaired by Chair Diamat)  (1 full-time faculty tasked; 5 part-time not tasked)</t>
        </is>
      </c>
      <c r="B36" s="28" t="n"/>
      <c r="C36" s="28" t="n"/>
      <c r="D36" s="28" t="n"/>
      <c r="E36" s="29" t="n"/>
    </row>
    <row r="37" ht="23.75" customHeight="1" s="31">
      <c r="A37" s="3" t="inlineStr">
        <is>
          <t>Cristobal, Teofilo G.</t>
        </is>
      </c>
      <c r="B37" s="3" t="inlineStr">
        <is>
          <t>Curriculum &amp; Syllabi — BSCS  [FT, 24 units, 3 preps this semester]</t>
        </is>
      </c>
      <c r="C37" s="3" t="inlineStr">
        <is>
          <t>None — support role only</t>
        </is>
      </c>
      <c r="D37" s="3" t="inlineStr">
        <is>
          <t>3 items: #37–38, 78</t>
        </is>
      </c>
      <c r="E37" s="4">
        <f>IF(MIN(IF(Tracker!$G$45="Done",99999,Tracker!$F$45),IF(Tracker!$G$46="Done",99999,Tracker!$F$46))=99999,"—",MIN(IF(Tracker!$G$45="Done",99999,Tracker!$F$45),IF(Tracker!$G$46="Done",99999,Tracker!$F$46)))</f>
        <v/>
      </c>
    </row>
    <row r="38" ht="15" customHeight="1" s="31">
      <c r="A38" s="27" t="inlineStr">
        <is>
          <t>HOSPITALITY MANAGEMENT — Curriculum &amp; Syllabi Committee for BSHM (chaired by Chair Ciasico)  (3 full-time faculty tasked; 5 part-time not tasked)</t>
        </is>
      </c>
      <c r="B38" s="28" t="n"/>
      <c r="C38" s="28" t="n"/>
      <c r="D38" s="28" t="n"/>
      <c r="E38" s="29" t="n"/>
    </row>
    <row r="39" ht="23.75" customHeight="1" s="31">
      <c r="A39" s="3" t="inlineStr">
        <is>
          <t>Bernardo, Romeo DG</t>
        </is>
      </c>
      <c r="B39" s="3" t="inlineStr">
        <is>
          <t>Curriculum &amp; Syllabi — BSHM; Library Collection  [FT, 21 units, 4 preps this semester]</t>
        </is>
      </c>
      <c r="C39" s="3" t="inlineStr">
        <is>
          <t>None — support role only</t>
        </is>
      </c>
      <c r="D39" s="3" t="inlineStr">
        <is>
          <t>7 items: #43–44, 66–69, 77</t>
        </is>
      </c>
      <c r="E39" s="4">
        <f>IF(MIN(IF(Tracker!$G$51="Done",99999,Tracker!$F$51),IF(Tracker!$G$52="Done",99999,Tracker!$F$52),IF(Tracker!$G$75="Done",99999,Tracker!$F$75),IF(Tracker!$G$76="Done",99999,Tracker!$F$76),IF(Tracker!$G$77="Done",99999,Tracker!$F$77),IF(Tracker!$G$78="Done",99999,Tracker!$F$78))=99999,"—",MIN(IF(Tracker!$G$51="Done",99999,Tracker!$F$51),IF(Tracker!$G$52="Done",99999,Tracker!$F$52),IF(Tracker!$G$75="Done",99999,Tracker!$F$75),IF(Tracker!$G$76="Done",99999,Tracker!$F$76),IF(Tracker!$G$77="Done",99999,Tracker!$F$77),IF(Tracker!$G$78="Done",99999,Tracker!$F$78)))</f>
        <v/>
      </c>
    </row>
    <row r="40" ht="35" customHeight="1" s="31">
      <c r="A40" s="3" t="inlineStr">
        <is>
          <t>Dela Cruz, Jonathan</t>
        </is>
      </c>
      <c r="B40" s="3" t="inlineStr">
        <is>
          <t>Curriculum &amp; Syllabi — BSHM; Feasibility &amp; Market Study  [FT, 18 units, 4 preps this semester]</t>
        </is>
      </c>
      <c r="C40" s="3" t="inlineStr">
        <is>
          <t>None — support role only</t>
        </is>
      </c>
      <c r="D40" s="3" t="inlineStr">
        <is>
          <t>6 items: #4–6, 43–44, 77</t>
        </is>
      </c>
      <c r="E40" s="4">
        <f>IF(MIN(IF(Tracker!$G$10="Done",99999,Tracker!$F$10),IF(Tracker!$G$11="Done",99999,Tracker!$F$11),IF(Tracker!$G$12="Done",99999,Tracker!$F$12),IF(Tracker!$G$51="Done",99999,Tracker!$F$51),IF(Tracker!$G$52="Done",99999,Tracker!$F$52))=99999,"—",MIN(IF(Tracker!$G$10="Done",99999,Tracker!$F$10),IF(Tracker!$G$11="Done",99999,Tracker!$F$11),IF(Tracker!$G$12="Done",99999,Tracker!$F$12),IF(Tracker!$G$51="Done",99999,Tracker!$F$51),IF(Tracker!$G$52="Done",99999,Tracker!$F$52)))</f>
        <v/>
      </c>
    </row>
    <row r="41" ht="23.75" customHeight="1" s="31">
      <c r="A41" s="3" t="inlineStr">
        <is>
          <t>Geronimo, Jing Feng A., LPT</t>
        </is>
      </c>
      <c r="B41" s="3" t="inlineStr">
        <is>
          <t>Curriculum &amp; Syllabi — BSHM  [FT, 24 units, 4 preps this semester]</t>
        </is>
      </c>
      <c r="C41" s="3" t="inlineStr">
        <is>
          <t>None — support role only</t>
        </is>
      </c>
      <c r="D41" s="3" t="inlineStr">
        <is>
          <t>3 items: #43–44, 77</t>
        </is>
      </c>
      <c r="E41" s="4">
        <f>IF(MIN(IF(Tracker!$G$51="Done",99999,Tracker!$F$51),IF(Tracker!$G$52="Done",99999,Tracker!$F$52))=99999,"—",MIN(IF(Tracker!$G$51="Done",99999,Tracker!$F$51),IF(Tracker!$G$52="Done",99999,Tracker!$F$52)))</f>
        <v/>
      </c>
    </row>
    <row r="42" ht="35" customHeight="1" s="31">
      <c r="A42" s="27" t="inlineStr">
        <is>
          <t>TEACHER EDUCATION — Curriculum &amp; Syllabi Committee for BEED and BSED (chaired by Chair K. Garcia)  (14 full-time faculty tasked; 4 part-time not tasked)</t>
        </is>
      </c>
      <c r="B42" s="28" t="n"/>
      <c r="C42" s="28" t="n"/>
      <c r="D42" s="28" t="n"/>
      <c r="E42" s="29" t="n"/>
    </row>
    <row r="43" ht="23.75" customHeight="1" s="31">
      <c r="A43" s="3" t="inlineStr">
        <is>
          <t>Ablaya, Stephanie</t>
        </is>
      </c>
      <c r="B43" s="3" t="inlineStr">
        <is>
          <t>Curriculum &amp; Syllabi — BEED/BSED; Feasibility &amp; Market Study  [FT, 27 units, 6 preps this semester]</t>
        </is>
      </c>
      <c r="C43" s="3" t="inlineStr">
        <is>
          <t>None — support role only</t>
        </is>
      </c>
      <c r="D43" s="3" t="inlineStr">
        <is>
          <t>8 items: #4–6, 55–56, 61–62, 79</t>
        </is>
      </c>
      <c r="E43" s="4">
        <f>IF(MIN(IF(Tracker!$G$10="Done",99999,Tracker!$F$10),IF(Tracker!$G$11="Done",99999,Tracker!$F$11),IF(Tracker!$G$12="Done",99999,Tracker!$F$12),IF(Tracker!$G$63="Done",99999,Tracker!$F$63),IF(Tracker!$G$64="Done",99999,Tracker!$F$64),IF(Tracker!$G$69="Done",99999,Tracker!$F$69),IF(Tracker!$G$70="Done",99999,Tracker!$F$70))=99999,"—",MIN(IF(Tracker!$G$10="Done",99999,Tracker!$F$10),IF(Tracker!$G$11="Done",99999,Tracker!$F$11),IF(Tracker!$G$12="Done",99999,Tracker!$F$12),IF(Tracker!$G$63="Done",99999,Tracker!$F$63),IF(Tracker!$G$64="Done",99999,Tracker!$F$64),IF(Tracker!$G$69="Done",99999,Tracker!$F$69),IF(Tracker!$G$70="Done",99999,Tracker!$F$70)))</f>
        <v/>
      </c>
    </row>
    <row r="44" ht="23.75" customHeight="1" s="31">
      <c r="A44" s="3" t="inlineStr">
        <is>
          <t>Aquino, Agnes M., Dr.</t>
        </is>
      </c>
      <c r="B44" s="3" t="inlineStr">
        <is>
          <t>Curriculum &amp; Syllabi — BEED/BSED. Writes the course descriptions and OBE syllabi for the BEED and BSED major courses allocated to her under item 79, due 25 Sep 2026. Moved out of the General Education Syllabi Pool on 13 Sep 2026 so the major-course load is not carried on top of the college-wide general education work.  [FT, 24 units, 7 preps this semester]</t>
        </is>
      </c>
      <c r="C44" s="3" t="inlineStr">
        <is>
          <t>None — support role only</t>
        </is>
      </c>
      <c r="D44" s="3" t="inlineStr">
        <is>
          <t>5 items: #55–56, 61–62, 79</t>
        </is>
      </c>
      <c r="E44" s="4">
        <f>IF(MIN(IF(Tracker!$G$27="Done",99999,Tracker!$F$27),IF(Tracker!$G$28="Done",99999,Tracker!$F$28),IF(Tracker!$G$33="Done",99999,Tracker!$F$33),IF(Tracker!$G$34="Done",99999,Tracker!$F$34),IF(Tracker!$G$39="Done",99999,Tracker!$F$39),IF(Tracker!$G$40="Done",99999,Tracker!$F$40),IF(Tracker!$G$45="Done",99999,Tracker!$F$45),IF(Tracker!$G$46="Done",99999,Tracker!$F$46),IF(Tracker!$G$51="Done",99999,Tracker!$F$51),IF(Tracker!$G$52="Done",99999,Tracker!$F$52),IF(Tracker!$G$57="Done",99999,Tracker!$F$57),IF(Tracker!$G$58="Done",99999,Tracker!$F$58),IF(Tracker!$G$63="Done",99999,Tracker!$F$63),IF(Tracker!$G$64="Done",99999,Tracker!$F$64),IF(Tracker!$G$69="Done",99999,Tracker!$F$69),IF(Tracker!$G$70="Done",99999,Tracker!$F$70))=99999,"—",MIN(IF(Tracker!$G$27="Done",99999,Tracker!$F$27),IF(Tracker!$G$28="Done",99999,Tracker!$F$28),IF(Tracker!$G$33="Done",99999,Tracker!$F$33),IF(Tracker!$G$34="Done",99999,Tracker!$F$34),IF(Tracker!$G$39="Done",99999,Tracker!$F$39),IF(Tracker!$G$40="Done",99999,Tracker!$F$40),IF(Tracker!$G$45="Done",99999,Tracker!$F$45),IF(Tracker!$G$46="Done",99999,Tracker!$F$46),IF(Tracker!$G$51="Done",99999,Tracker!$F$51),IF(Tracker!$G$52="Done",99999,Tracker!$F$52),IF(Tracker!$G$57="Done",99999,Tracker!$F$57),IF(Tracker!$G$58="Done",99999,Tracker!$F$58),IF(Tracker!$G$63="Done",99999,Tracker!$F$63),IF(Tracker!$G$64="Done",99999,Tracker!$F$64),IF(Tracker!$G$69="Done",99999,Tracker!$F$69),IF(Tracker!$G$70="Done",99999,Tracker!$F$70)))</f>
        <v/>
      </c>
    </row>
    <row r="45" ht="35" customHeight="1" s="31">
      <c r="A45" s="3" t="inlineStr">
        <is>
          <t>Cajucom, Ryan Neil</t>
        </is>
      </c>
      <c r="B45" s="3" t="inlineStr">
        <is>
          <t>Curriculum &amp; Syllabi — BEED/BSED  [FT, 27 units, 6 preps this semester]</t>
        </is>
      </c>
      <c r="C45" s="3" t="inlineStr">
        <is>
          <t>None — support role only</t>
        </is>
      </c>
      <c r="D45" s="3" t="inlineStr">
        <is>
          <t>5 items: #55–56, 61–62, 79</t>
        </is>
      </c>
      <c r="E45" s="4">
        <f>IF(MIN(IF(Tracker!$G$63="Done",99999,Tracker!$F$63),IF(Tracker!$G$64="Done",99999,Tracker!$F$64),IF(Tracker!$G$69="Done",99999,Tracker!$F$69),IF(Tracker!$G$70="Done",99999,Tracker!$F$70))=99999,"—",MIN(IF(Tracker!$G$63="Done",99999,Tracker!$F$63),IF(Tracker!$G$64="Done",99999,Tracker!$F$64),IF(Tracker!$G$69="Done",99999,Tracker!$F$69),IF(Tracker!$G$70="Done",99999,Tracker!$F$70)))</f>
        <v/>
      </c>
    </row>
    <row r="46" ht="35" customHeight="1" s="31">
      <c r="A46" s="3" t="inlineStr">
        <is>
          <t>Calma, Shiela Mae C.</t>
        </is>
      </c>
      <c r="B46" s="3" t="inlineStr">
        <is>
          <t>General Education Syllabi Pool writer (item 74) — writes the course description AND the OBE syllabus for 3 courses, one set serving all 8 programmes: PATH-FIT 1 Movement Competency Training; PATH-FIT 2 Exercise-Based Fitness Activities; NSTP 1 Civic Welfare Training Service 1. 6 documents. To Chair K. Garcia: descriptions 9 Oct, syllabi 16 Oct 2026. Also Curriculum &amp; Syllabi — BEED/BSED (not allocated BEED/BSED major courses under item 79 while carrying this pool load).  [FT, 24 units, 4 preps this semester]</t>
        </is>
      </c>
      <c r="C46" s="3" t="inlineStr">
        <is>
          <t>None — support role only</t>
        </is>
      </c>
      <c r="D46" s="3" t="inlineStr">
        <is>
          <t>17 items: #19–20, 25–26, 31–32, 37–38, 43–44, 49–50, 55–56, 61–62, 74</t>
        </is>
      </c>
      <c r="E46" s="4">
        <f>IF(MIN(IF(Tracker!$G$27="Done",99999,Tracker!$F$27),IF(Tracker!$G$28="Done",99999,Tracker!$F$28),IF(Tracker!$G$33="Done",99999,Tracker!$F$33),IF(Tracker!$G$34="Done",99999,Tracker!$F$34),IF(Tracker!$G$39="Done",99999,Tracker!$F$39),IF(Tracker!$G$40="Done",99999,Tracker!$F$40),IF(Tracker!$G$45="Done",99999,Tracker!$F$45),IF(Tracker!$G$46="Done",99999,Tracker!$F$46),IF(Tracker!$G$51="Done",99999,Tracker!$F$51),IF(Tracker!$G$52="Done",99999,Tracker!$F$52),IF(Tracker!$G$57="Done",99999,Tracker!$F$57),IF(Tracker!$G$58="Done",99999,Tracker!$F$58),IF(Tracker!$G$63="Done",99999,Tracker!$F$63),IF(Tracker!$G$64="Done",99999,Tracker!$F$64),IF(Tracker!$G$69="Done",99999,Tracker!$F$69),IF(Tracker!$G$70="Done",99999,Tracker!$F$70))=99999,"—",MIN(IF(Tracker!$G$27="Done",99999,Tracker!$F$27),IF(Tracker!$G$28="Done",99999,Tracker!$F$28),IF(Tracker!$G$33="Done",99999,Tracker!$F$33),IF(Tracker!$G$34="Done",99999,Tracker!$F$34),IF(Tracker!$G$39="Done",99999,Tracker!$F$39),IF(Tracker!$G$40="Done",99999,Tracker!$F$40),IF(Tracker!$G$45="Done",99999,Tracker!$F$45),IF(Tracker!$G$46="Done",99999,Tracker!$F$46),IF(Tracker!$G$51="Done",99999,Tracker!$F$51),IF(Tracker!$G$52="Done",99999,Tracker!$F$52),IF(Tracker!$G$57="Done",99999,Tracker!$F$57),IF(Tracker!$G$58="Done",99999,Tracker!$F$58),IF(Tracker!$G$63="Done",99999,Tracker!$F$63),IF(Tracker!$G$64="Done",99999,Tracker!$F$64),IF(Tracker!$G$69="Done",99999,Tracker!$F$69),IF(Tracker!$G$70="Done",99999,Tracker!$F$70)))</f>
        <v/>
      </c>
    </row>
    <row r="47" ht="35" customHeight="1" s="31">
      <c r="A47" s="3" t="inlineStr">
        <is>
          <t>Delos Reyes, Diana Maris</t>
        </is>
      </c>
      <c r="B47" s="3" t="inlineStr">
        <is>
          <t>Curriculum &amp; Syllabi — BEED/BSED  [FT, 27 units, 7 preps this semester]</t>
        </is>
      </c>
      <c r="C47" s="3" t="inlineStr">
        <is>
          <t>None — support role only</t>
        </is>
      </c>
      <c r="D47" s="3" t="inlineStr">
        <is>
          <t>5 items: #55–56, 61–62, 79</t>
        </is>
      </c>
      <c r="E47" s="4">
        <f>IF(MIN(IF(Tracker!$G$63="Done",99999,Tracker!$F$63),IF(Tracker!$G$64="Done",99999,Tracker!$F$64),IF(Tracker!$G$69="Done",99999,Tracker!$F$69),IF(Tracker!$G$70="Done",99999,Tracker!$F$70))=99999,"—",MIN(IF(Tracker!$G$63="Done",99999,Tracker!$F$63),IF(Tracker!$G$64="Done",99999,Tracker!$F$64),IF(Tracker!$G$69="Done",99999,Tracker!$F$69),IF(Tracker!$G$70="Done",99999,Tracker!$F$70)))</f>
        <v/>
      </c>
    </row>
    <row r="48" ht="35" customHeight="1" s="31">
      <c r="A48" s="3" t="inlineStr">
        <is>
          <t>Germino, Melanie</t>
        </is>
      </c>
      <c r="B48" s="3" t="inlineStr">
        <is>
          <t>Curriculum &amp; Syllabi — BEED/BSED  [FT, 27 units, 7 preps this semester] Joins the General Education Syllabi Pool for HIS-GEC (item 74), reallocated from D. Maglalang on her resignation.</t>
        </is>
      </c>
      <c r="C48" s="3" t="inlineStr">
        <is>
          <t>None — support role only</t>
        </is>
      </c>
      <c r="D48" s="3" t="inlineStr">
        <is>
          <t>5 items: #55–56, 61–62, 79, 74</t>
        </is>
      </c>
      <c r="E48" s="4">
        <f>IF(MIN(IF(Tracker!$G$63="Done",99999,Tracker!$F$63),IF(Tracker!$G$64="Done",99999,Tracker!$F$64),IF(Tracker!$G$69="Done",99999,Tracker!$F$69),IF(Tracker!$G$70="Done",99999,Tracker!$F$70))=99999,"—",MIN(IF(Tracker!$G$63="Done",99999,Tracker!$F$63),IF(Tracker!$G$64="Done",99999,Tracker!$F$64),IF(Tracker!$G$69="Done",99999,Tracker!$F$69),IF(Tracker!$G$70="Done",99999,Tracker!$F$70)))</f>
        <v/>
      </c>
    </row>
    <row r="49" ht="35" customHeight="1" s="31">
      <c r="A49" s="3" t="inlineStr">
        <is>
          <t>Ilag, Ferdinand T.</t>
        </is>
      </c>
      <c r="B49" s="3" t="inlineStr">
        <is>
          <t>General Education Syllabi Pool writer (item 74) — writes the course description AND the OBE syllabus for 3 courses, one set serving all 8 programmes: REL-GEC Religion, Religious Experience and Spirituality; CLE 1 Church and Salvation History; STS-GEC Science, Technology and Society. 6 documents. To Chair K. Garcia: descriptions 9 Oct, syllabi 16 Oct 2026. Also Curriculum &amp; Syllabi — BEED/BSED (not allocated BEED/BSED major courses under item 79 while carrying this pool load).  [FT, 21 units, 3 preps this semester] Also CLE 2 (item 74), reallocated from D. Maglalang.</t>
        </is>
      </c>
      <c r="C49" s="3" t="inlineStr">
        <is>
          <t>None — support role only</t>
        </is>
      </c>
      <c r="D49" s="3" t="inlineStr">
        <is>
          <t>17 items: #19–20, 25–26, 31–32, 37–38, 43–44, 49–50, 55–56, 61–62, 74</t>
        </is>
      </c>
      <c r="E49" s="4">
        <f>IF(MIN(IF(Tracker!$G$27="Done",99999,Tracker!$F$27),IF(Tracker!$G$28="Done",99999,Tracker!$F$28),IF(Tracker!$G$33="Done",99999,Tracker!$F$33),IF(Tracker!$G$34="Done",99999,Tracker!$F$34),IF(Tracker!$G$39="Done",99999,Tracker!$F$39),IF(Tracker!$G$40="Done",99999,Tracker!$F$40),IF(Tracker!$G$45="Done",99999,Tracker!$F$45),IF(Tracker!$G$46="Done",99999,Tracker!$F$46),IF(Tracker!$G$51="Done",99999,Tracker!$F$51),IF(Tracker!$G$52="Done",99999,Tracker!$F$52),IF(Tracker!$G$57="Done",99999,Tracker!$F$57),IF(Tracker!$G$58="Done",99999,Tracker!$F$58),IF(Tracker!$G$63="Done",99999,Tracker!$F$63),IF(Tracker!$G$64="Done",99999,Tracker!$F$64),IF(Tracker!$G$69="Done",99999,Tracker!$F$69),IF(Tracker!$G$70="Done",99999,Tracker!$F$70))=99999,"—",MIN(IF(Tracker!$G$27="Done",99999,Tracker!$F$27),IF(Tracker!$G$28="Done",99999,Tracker!$F$28),IF(Tracker!$G$33="Done",99999,Tracker!$F$33),IF(Tracker!$G$34="Done",99999,Tracker!$F$34),IF(Tracker!$G$39="Done",99999,Tracker!$F$39),IF(Tracker!$G$40="Done",99999,Tracker!$F$40),IF(Tracker!$G$45="Done",99999,Tracker!$F$45),IF(Tracker!$G$46="Done",99999,Tracker!$F$46),IF(Tracker!$G$51="Done",99999,Tracker!$F$51),IF(Tracker!$G$52="Done",99999,Tracker!$F$52),IF(Tracker!$G$57="Done",99999,Tracker!$F$57),IF(Tracker!$G$58="Done",99999,Tracker!$F$58),IF(Tracker!$G$63="Done",99999,Tracker!$F$63),IF(Tracker!$G$64="Done",99999,Tracker!$F$64),IF(Tracker!$G$69="Done",99999,Tracker!$F$69),IF(Tracker!$G$70="Done",99999,Tracker!$F$70)))</f>
        <v/>
      </c>
    </row>
    <row r="50" ht="23.75" customHeight="1" s="31">
      <c r="A50" s="3" t="inlineStr">
        <is>
          <t>Jamlang, Jamie A.</t>
        </is>
      </c>
      <c r="B50" s="3" t="inlineStr">
        <is>
          <t>General Education Syllabi Pool writer (item 74) — writes the course description AND the OBE syllabus for 2 courses, one set serving all 8 programmes: CON-GEC The Contemporary World; ITE-GEC Living in the I.T. Era. 4 documents. To Chair K. Garcia: descriptions 9 Oct, syllabi 16 Oct 2026. Also Curriculum &amp; Syllabi — BEED/BSED (not allocated BEED/BSED major courses under item 79 while carrying this pool load).  [FT, 27 units, 5 preps this semester] Also RIZ-GEC (item 74), reallocated from D. Maglalang.</t>
        </is>
      </c>
      <c r="C50" s="3" t="inlineStr">
        <is>
          <t>None — support role only</t>
        </is>
      </c>
      <c r="D50" s="3" t="inlineStr">
        <is>
          <t>17 items: #19–20, 25–26, 31–32, 37–38, 43–44, 49–50, 55–56, 61–62, 74</t>
        </is>
      </c>
      <c r="E50" s="4">
        <f>IF(MIN(IF(Tracker!$G$27="Done",99999,Tracker!$F$27),IF(Tracker!$G$28="Done",99999,Tracker!$F$28),IF(Tracker!$G$33="Done",99999,Tracker!$F$33),IF(Tracker!$G$34="Done",99999,Tracker!$F$34),IF(Tracker!$G$39="Done",99999,Tracker!$F$39),IF(Tracker!$G$40="Done",99999,Tracker!$F$40),IF(Tracker!$G$45="Done",99999,Tracker!$F$45),IF(Tracker!$G$46="Done",99999,Tracker!$F$46),IF(Tracker!$G$51="Done",99999,Tracker!$F$51),IF(Tracker!$G$52="Done",99999,Tracker!$F$52),IF(Tracker!$G$57="Done",99999,Tracker!$F$57),IF(Tracker!$G$58="Done",99999,Tracker!$F$58),IF(Tracker!$G$63="Done",99999,Tracker!$F$63),IF(Tracker!$G$64="Done",99999,Tracker!$F$64),IF(Tracker!$G$69="Done",99999,Tracker!$F$69),IF(Tracker!$G$70="Done",99999,Tracker!$F$70))=99999,"—",MIN(IF(Tracker!$G$27="Done",99999,Tracker!$F$27),IF(Tracker!$G$28="Done",99999,Tracker!$F$28),IF(Tracker!$G$33="Done",99999,Tracker!$F$33),IF(Tracker!$G$34="Done",99999,Tracker!$F$34),IF(Tracker!$G$39="Done",99999,Tracker!$F$39),IF(Tracker!$G$40="Done",99999,Tracker!$F$40),IF(Tracker!$G$45="Done",99999,Tracker!$F$45),IF(Tracker!$G$46="Done",99999,Tracker!$F$46),IF(Tracker!$G$51="Done",99999,Tracker!$F$51),IF(Tracker!$G$52="Done",99999,Tracker!$F$52),IF(Tracker!$G$57="Done",99999,Tracker!$F$57),IF(Tracker!$G$58="Done",99999,Tracker!$F$58),IF(Tracker!$G$63="Done",99999,Tracker!$F$63),IF(Tracker!$G$64="Done",99999,Tracker!$F$64),IF(Tracker!$G$69="Done",99999,Tracker!$F$69),IF(Tracker!$G$70="Done",99999,Tracker!$F$70)))</f>
        <v/>
      </c>
    </row>
    <row r="51" ht="35" customHeight="1" s="31">
      <c r="A51" s="3" t="inlineStr">
        <is>
          <t>Manuel, Consuelo V., Dr.</t>
        </is>
      </c>
      <c r="B51" s="3" t="inlineStr">
        <is>
          <t>General Education Syllabi Pool writer (item 74) — writes the course description AND the OBE syllabus for 3 courses, one set serving all 8 programmes: ETH-GEC Ethics; MAT-GEC Mathematics in the Modern World; BL-GEC Business Logic. 6 documents. To Chair K. Garcia: descriptions 9 Oct, syllabi 16 Oct 2026. Also Curriculum &amp; Syllabi — BEED/BSED (not allocated BEED/BSED major courses under item 79 while carrying this pool load).  [FT, 24 units, 4 preps this semester]</t>
        </is>
      </c>
      <c r="C51" s="3" t="inlineStr">
        <is>
          <t>None — support role only</t>
        </is>
      </c>
      <c r="D51" s="3" t="inlineStr">
        <is>
          <t>17 items: #19–20, 25–26, 31–32, 37–38, 43–44, 49–50, 55–56, 61–62, 74</t>
        </is>
      </c>
      <c r="E51" s="4">
        <f>IF(MIN(IF(Tracker!$G$27="Done",99999,Tracker!$F$27),IF(Tracker!$G$28="Done",99999,Tracker!$F$28),IF(Tracker!$G$33="Done",99999,Tracker!$F$33),IF(Tracker!$G$34="Done",99999,Tracker!$F$34),IF(Tracker!$G$39="Done",99999,Tracker!$F$39),IF(Tracker!$G$40="Done",99999,Tracker!$F$40),IF(Tracker!$G$45="Done",99999,Tracker!$F$45),IF(Tracker!$G$46="Done",99999,Tracker!$F$46),IF(Tracker!$G$51="Done",99999,Tracker!$F$51),IF(Tracker!$G$52="Done",99999,Tracker!$F$52),IF(Tracker!$G$57="Done",99999,Tracker!$F$57),IF(Tracker!$G$58="Done",99999,Tracker!$F$58),IF(Tracker!$G$63="Done",99999,Tracker!$F$63),IF(Tracker!$G$64="Done",99999,Tracker!$F$64),IF(Tracker!$G$69="Done",99999,Tracker!$F$69),IF(Tracker!$G$70="Done",99999,Tracker!$F$70))=99999,"—",MIN(IF(Tracker!$G$27="Done",99999,Tracker!$F$27),IF(Tracker!$G$28="Done",99999,Tracker!$F$28),IF(Tracker!$G$33="Done",99999,Tracker!$F$33),IF(Tracker!$G$34="Done",99999,Tracker!$F$34),IF(Tracker!$G$39="Done",99999,Tracker!$F$39),IF(Tracker!$G$40="Done",99999,Tracker!$F$40),IF(Tracker!$G$45="Done",99999,Tracker!$F$45),IF(Tracker!$G$46="Done",99999,Tracker!$F$46),IF(Tracker!$G$51="Done",99999,Tracker!$F$51),IF(Tracker!$G$52="Done",99999,Tracker!$F$52),IF(Tracker!$G$57="Done",99999,Tracker!$F$57),IF(Tracker!$G$58="Done",99999,Tracker!$F$58),IF(Tracker!$G$63="Done",99999,Tracker!$F$63),IF(Tracker!$G$64="Done",99999,Tracker!$F$64),IF(Tracker!$G$69="Done",99999,Tracker!$F$69),IF(Tracker!$G$70="Done",99999,Tracker!$F$70)))</f>
        <v/>
      </c>
    </row>
    <row r="52" ht="23.75" customHeight="1" s="31">
      <c r="A52" s="3" t="inlineStr">
        <is>
          <t>Mequiabas, Meah</t>
        </is>
      </c>
      <c r="B52" s="3" t="inlineStr">
        <is>
          <t>General Education Syllabi Pool writer (item 74) — writes the course description AND the OBE syllabus for 3 courses, one set serving all 8 programmes: PATH-FIT 3 Dance; PATH-FIT 4 Sports; NSTP 2 Civic Welfare Training Service 2. 6 documents. To Chair K. Garcia: descriptions 9 Oct, syllabi 16 Oct 2026. Also Curriculum &amp; Syllabi — BEED/BSED (not allocated BEED/BSED major courses under item 79 while carrying this pool load).  [FT, 26 units, 4 preps this semester]</t>
        </is>
      </c>
      <c r="C52" s="3" t="inlineStr">
        <is>
          <t>None — support role only</t>
        </is>
      </c>
      <c r="D52" s="3" t="inlineStr">
        <is>
          <t>17 items: #19–20, 25–26, 31–32, 37–38, 43–44, 49–50, 55–56, 61–62, 74</t>
        </is>
      </c>
      <c r="E52" s="4">
        <f>IF(MIN(IF(Tracker!$G$27="Done",99999,Tracker!$F$27),IF(Tracker!$G$28="Done",99999,Tracker!$F$28),IF(Tracker!$G$33="Done",99999,Tracker!$F$33),IF(Tracker!$G$34="Done",99999,Tracker!$F$34),IF(Tracker!$G$39="Done",99999,Tracker!$F$39),IF(Tracker!$G$40="Done",99999,Tracker!$F$40),IF(Tracker!$G$45="Done",99999,Tracker!$F$45),IF(Tracker!$G$46="Done",99999,Tracker!$F$46),IF(Tracker!$G$51="Done",99999,Tracker!$F$51),IF(Tracker!$G$52="Done",99999,Tracker!$F$52),IF(Tracker!$G$57="Done",99999,Tracker!$F$57),IF(Tracker!$G$58="Done",99999,Tracker!$F$58),IF(Tracker!$G$63="Done",99999,Tracker!$F$63),IF(Tracker!$G$64="Done",99999,Tracker!$F$64),IF(Tracker!$G$69="Done",99999,Tracker!$F$69),IF(Tracker!$G$70="Done",99999,Tracker!$F$70))=99999,"—",MIN(IF(Tracker!$G$27="Done",99999,Tracker!$F$27),IF(Tracker!$G$28="Done",99999,Tracker!$F$28),IF(Tracker!$G$33="Done",99999,Tracker!$F$33),IF(Tracker!$G$34="Done",99999,Tracker!$F$34),IF(Tracker!$G$39="Done",99999,Tracker!$F$39),IF(Tracker!$G$40="Done",99999,Tracker!$F$40),IF(Tracker!$G$45="Done",99999,Tracker!$F$45),IF(Tracker!$G$46="Done",99999,Tracker!$F$46),IF(Tracker!$G$51="Done",99999,Tracker!$F$51),IF(Tracker!$G$52="Done",99999,Tracker!$F$52),IF(Tracker!$G$57="Done",99999,Tracker!$F$57),IF(Tracker!$G$58="Done",99999,Tracker!$F$58),IF(Tracker!$G$63="Done",99999,Tracker!$F$63),IF(Tracker!$G$64="Done",99999,Tracker!$F$64),IF(Tracker!$G$69="Done",99999,Tracker!$F$69),IF(Tracker!$G$70="Done",99999,Tracker!$F$70)))</f>
        <v/>
      </c>
    </row>
    <row r="53">
      <c r="A53" s="3" t="inlineStr">
        <is>
          <t>Sta. Cruz, Ma. Patricia</t>
        </is>
      </c>
      <c r="B53" s="3" t="inlineStr">
        <is>
          <t>Curriculum &amp; Syllabi — BEED/BSED; Library Collection  [FT, 27 units, 3 preps this semester]</t>
        </is>
      </c>
      <c r="C53" s="3" t="inlineStr">
        <is>
          <t>None — support role only</t>
        </is>
      </c>
      <c r="D53" s="3" t="inlineStr">
        <is>
          <t>9 items: #55–56, 61–62, 66–69, 79</t>
        </is>
      </c>
      <c r="E53" s="4">
        <f>IF(MIN(IF(Tracker!$G$63="Done",99999,Tracker!$F$63),IF(Tracker!$G$64="Done",99999,Tracker!$F$64),IF(Tracker!$G$69="Done",99999,Tracker!$F$69),IF(Tracker!$G$70="Done",99999,Tracker!$F$70),IF(Tracker!$G$75="Done",99999,Tracker!$F$75),IF(Tracker!$G$76="Done",99999,Tracker!$F$76),IF(Tracker!$G$77="Done",99999,Tracker!$F$77),IF(Tracker!$G$78="Done",99999,Tracker!$F$78))=99999,"—",MIN(IF(Tracker!$G$63="Done",99999,Tracker!$F$63),IF(Tracker!$G$64="Done",99999,Tracker!$F$64),IF(Tracker!$G$69="Done",99999,Tracker!$F$69),IF(Tracker!$G$70="Done",99999,Tracker!$F$70),IF(Tracker!$G$75="Done",99999,Tracker!$F$75),IF(Tracker!$G$76="Done",99999,Tracker!$F$76),IF(Tracker!$G$77="Done",99999,Tracker!$F$77),IF(Tracker!$G$78="Done",99999,Tracker!$F$78)))</f>
        <v/>
      </c>
    </row>
    <row r="54" ht="15" customHeight="1" s="31">
      <c r="A54" s="3" t="inlineStr">
        <is>
          <t>Tolosa, Nenita</t>
        </is>
      </c>
      <c r="B54" s="3" t="inlineStr">
        <is>
          <t>General Education Syllabi Pool writer (item 74) — writes the course description AND the OBE syllabus for 3 courses, one set serving all 8 programmes: ART-GEC Art Appreciation; COM-GEC Purposive Communication; US-GEC Understanding the Self. 6 documents. To Chair K. Garcia: descriptions 9 Oct, syllabi 16 Oct 2026. Also Curriculum &amp; Syllabi — BEED/BSED (not allocated BEED/BSED major courses under item 79 while carrying this pool load).  [FT, 24 units, 5 preps this semester]</t>
        </is>
      </c>
      <c r="C54" s="3" t="inlineStr">
        <is>
          <t>None — support role only</t>
        </is>
      </c>
      <c r="D54" s="3" t="inlineStr">
        <is>
          <t>17 items: #19–20, 25–26, 31–32, 37–38, 43–44, 49–50, 55–56, 61–62, 74</t>
        </is>
      </c>
      <c r="E54" s="4">
        <f>IF(MIN(IF(Tracker!$G$27="Done",99999,Tracker!$F$27),IF(Tracker!$G$28="Done",99999,Tracker!$F$28),IF(Tracker!$G$33="Done",99999,Tracker!$F$33),IF(Tracker!$G$34="Done",99999,Tracker!$F$34),IF(Tracker!$G$39="Done",99999,Tracker!$F$39),IF(Tracker!$G$40="Done",99999,Tracker!$F$40),IF(Tracker!$G$45="Done",99999,Tracker!$F$45),IF(Tracker!$G$46="Done",99999,Tracker!$F$46),IF(Tracker!$G$51="Done",99999,Tracker!$F$51),IF(Tracker!$G$52="Done",99999,Tracker!$F$52),IF(Tracker!$G$57="Done",99999,Tracker!$F$57),IF(Tracker!$G$58="Done",99999,Tracker!$F$58),IF(Tracker!$G$63="Done",99999,Tracker!$F$63),IF(Tracker!$G$64="Done",99999,Tracker!$F$64),IF(Tracker!$G$69="Done",99999,Tracker!$F$69),IF(Tracker!$G$70="Done",99999,Tracker!$F$70))=99999,"—",MIN(IF(Tracker!$G$27="Done",99999,Tracker!$F$27),IF(Tracker!$G$28="Done",99999,Tracker!$F$28),IF(Tracker!$G$33="Done",99999,Tracker!$F$33),IF(Tracker!$G$34="Done",99999,Tracker!$F$34),IF(Tracker!$G$39="Done",99999,Tracker!$F$39),IF(Tracker!$G$40="Done",99999,Tracker!$F$40),IF(Tracker!$G$45="Done",99999,Tracker!$F$45),IF(Tracker!$G$46="Done",99999,Tracker!$F$46),IF(Tracker!$G$51="Done",99999,Tracker!$F$51),IF(Tracker!$G$52="Done",99999,Tracker!$F$52),IF(Tracker!$G$57="Done",99999,Tracker!$F$57),IF(Tracker!$G$58="Done",99999,Tracker!$F$58),IF(Tracker!$G$63="Done",99999,Tracker!$F$63),IF(Tracker!$G$64="Done",99999,Tracker!$F$64),IF(Tracker!$G$69="Done",99999,Tracker!$F$69),IF(Tracker!$G$70="Done",99999,Tracker!$F$70)))</f>
        <v/>
      </c>
    </row>
    <row r="55" ht="135.75" customHeight="1" s="31">
      <c r="A55" s="3" t="inlineStr">
        <is>
          <t>Villamayor, Xyrelle</t>
        </is>
      </c>
      <c r="B55" s="3" t="inlineStr">
        <is>
          <t>Curriculum &amp; Syllabi — BEED/BSED  [FT, 27 units, 6 preps this semester]</t>
        </is>
      </c>
      <c r="C55" s="3" t="inlineStr">
        <is>
          <t>None — support role only</t>
        </is>
      </c>
      <c r="D55" s="3" t="inlineStr">
        <is>
          <t>5 items: #55–56, 61–62, 79</t>
        </is>
      </c>
      <c r="E55" s="4">
        <f>IF(MIN(IF(Tracker!$G$63="Done",99999,Tracker!$F$63),IF(Tracker!$G$64="Done",99999,Tracker!$F$64),IF(Tracker!$G$69="Done",99999,Tracker!$F$69),IF(Tracker!$G$70="Done",99999,Tracker!$F$70))=99999,"—",MIN(IF(Tracker!$G$63="Done",99999,Tracker!$F$63),IF(Tracker!$G$64="Done",99999,Tracker!$F$64),IF(Tracker!$G$69="Done",99999,Tracker!$F$69),IF(Tracker!$G$70="Done",99999,Tracker!$F$70)))</f>
        <v/>
      </c>
    </row>
    <row r="57" ht="15" customHeight="1" s="31">
      <c r="A57" s="33" t="inlineStr">
        <is>
          <t>PART-TIME FACULTY — NOT TASKED</t>
        </is>
      </c>
      <c r="B57" s="28" t="n"/>
      <c r="C57" s="28" t="n"/>
      <c r="D57" s="28" t="n"/>
      <c r="E57" s="29" t="n"/>
    </row>
    <row r="58">
      <c r="A58" s="12" t="inlineStr">
        <is>
          <t>21 part-time faculty</t>
        </is>
      </c>
      <c r="B58" s="12" t="inlineStr">
        <is>
          <t>Listed on the Faculty sheet because checklist item 5.1 requires every faculty member teaching general education and major courses. They carry no project tasks and sit on no committee.  Aberin, Gabriel Angelo, Adiova, Marites, Alarcon, Leuz Rafael, Cabrera, Francis, Carasco, Ryan Jay, Corpuz, Alpha Jessa, Cruz, Rommel, Empay, Jan Rhommer, Fernando, Eddyson S., Francisco, Jayson R., Francisco, Josephine Rose, Garcia, Michael Johnrein, Gomez, Donna Michelle A., Magdaong, Jennifer, Mariano, Jerick, Patiag, Glaiza Kaye, Patiag, Mark, Peralta, Ronel Evan P., Santiago, Decirae Nicole, Santos, John Vincent L., Timpac, Theodore M.</t>
        </is>
      </c>
      <c r="C58" s="12" t="inlineStr">
        <is>
          <t>—</t>
        </is>
      </c>
      <c r="D58" s="12" t="inlineStr">
        <is>
          <t>—</t>
        </is>
      </c>
      <c r="E58" s="13" t="inlineStr">
        <is>
          <t>—</t>
        </is>
      </c>
    </row>
    <row r="60">
      <c r="A60" s="35" t="inlineStr">
        <is>
          <t>Check</t>
        </is>
      </c>
      <c r="B60" s="15">
        <f>COUNT(Tracker!$A$5:$A$90)&amp;" tracker items, each with exactly one accountable owner. "&amp;COUNTIF(Faculty!$E$5:$E$59,"FT")&amp;" full-time faculty tasked; "&amp;COUNTIF(Faculty!$E$5:$E$59,"PT")&amp;" part-time faculty not tasked."</f>
        <v/>
      </c>
    </row>
  </sheetData>
  <autoFilter ref="A4:E52"/>
  <mergeCells count="10">
    <mergeCell ref="A30:E30"/>
    <mergeCell ref="A57:E57"/>
    <mergeCell ref="A38:E38"/>
    <mergeCell ref="A2:E2"/>
    <mergeCell ref="A25:E25"/>
    <mergeCell ref="A42:E42"/>
    <mergeCell ref="A19:E19"/>
    <mergeCell ref="A1:E1"/>
    <mergeCell ref="A5:E5"/>
    <mergeCell ref="A36:E36"/>
  </mergeCells>
  <pageMargins left="0.75" right="0.75" top="1" bottom="1" header="0.511811023622047" footer="0.511811023622047"/>
  <pageSetup orientation="landscape" fitToHeight="0" horizontalDpi="300" verticalDpi="300"/>
</worksheet>
</file>

<file path=xl/worksheets/sheet3.xml><?xml version="1.0" encoding="utf-8"?>
<worksheet xmlns="http://schemas.openxmlformats.org/spreadsheetml/2006/main">
  <sheetPr>
    <outlinePr summaryBelow="1" summaryRight="1"/>
    <pageSetUpPr fitToPage="1"/>
  </sheetPr>
  <dimension ref="A1:B102"/>
  <sheetViews>
    <sheetView zoomScaleNormal="100" workbookViewId="0">
      <pane ySplit="4" topLeftCell="A5" activePane="bottomLeft" state="frozen"/>
      <selection pane="bottomLeft" activeCell="A1" sqref="A1"/>
    </sheetView>
  </sheetViews>
  <sheetFormatPr baseColWidth="10" defaultColWidth="8.6640625" defaultRowHeight="15"/>
  <cols>
    <col width="34" customWidth="1" style="31" min="1" max="1"/>
    <col width="112" customWidth="1" style="31" min="2" max="2"/>
  </cols>
  <sheetData>
    <row r="1" ht="16.25" customHeight="1" s="31">
      <c r="A1" s="32" t="inlineStr">
        <is>
          <t>REFERENCE — SOURCES, CITATIONS, COMMITTEES AND OPEN ITEMS</t>
        </is>
      </c>
    </row>
    <row r="2" ht="31.5" customHeight="1" s="31">
      <c r="A2" s="30" t="inlineStr">
        <is>
          <t>Everything in the Tracker traces back to one of the source documents below. Nothing has been added from general practice. Where a requirement is unclear, it is listed as an Open Item rather than guessed. The committee and borrowing structure in section F is an internal proposal for the Vice Dean's approval — it is not a CHED requirement.</t>
        </is>
      </c>
    </row>
    <row r="4" ht="24" customHeight="1" s="31">
      <c r="A4" s="16" t="inlineStr">
        <is>
          <t>Section</t>
        </is>
      </c>
      <c r="B4" s="16" t="inlineStr">
        <is>
          <t>Detail</t>
        </is>
      </c>
    </row>
    <row r="5" ht="15" customHeight="1" s="31">
      <c r="A5" s="27" t="inlineStr">
        <is>
          <t>A. SOURCE DOCUMENTS USED</t>
        </is>
      </c>
      <c r="B5" s="29" t="n"/>
    </row>
    <row r="6" ht="23.75" customHeight="1" s="31">
      <c r="A6" s="17" t="inlineStr">
        <is>
          <t>Preliminary Requirement checklist</t>
        </is>
      </c>
      <c r="B6" s="3" t="inlineStr">
        <is>
          <t>The 9-section documentary checklist held by the Office of Academic Affairs (items 1 to 9, including sub-items 3.1-3.4, 4.1-4.2, 5.1-5.3, 7.1-7.4, 8.1-8.4.4, 9.1-9.2). Sole source of Tracker items 1 to 69.</t>
        </is>
      </c>
    </row>
    <row r="7" ht="23.75" customHeight="1" s="31">
      <c r="A7" s="17" t="inlineStr">
        <is>
          <t>Minutes of the Special Meeting of the Council of Program Chairs</t>
        </is>
      </c>
      <c r="B7" s="3" t="inlineStr">
        <is>
          <t>27 August 2026, 10:00-11:30 AM, Office of the VPAA. Presided by VPAA Dr. Raquel T. Sta. Ines, technically facilitated by MIS Head Jayson R. Francisco, MIT, prepared by Vice Dean Ken Gie Anthony G. Cruel, CPA, MBA. Dean Dr. Almario B. Garcia on official leave.</t>
        </is>
      </c>
    </row>
    <row r="8" ht="23.75" customHeight="1" s="31">
      <c r="A8" s="17" t="inlineStr">
        <is>
          <t>Internal project implementation plan</t>
        </is>
      </c>
      <c r="B8" s="3" t="inlineStr">
        <is>
          <t>Four-phase plan with hard deadlines of 12 Sep, 16 Oct, 30 Oct and 13 Nov 2026. Source of Tracker items 70 to 72 and of the delegation pattern used for owners.</t>
        </is>
      </c>
    </row>
    <row r="9" ht="35" customHeight="1" s="31">
      <c r="A9" s="17" t="inlineStr">
        <is>
          <t>Draft trimester curriculum workbook</t>
        </is>
      </c>
      <c r="B9" s="3" t="inlineStr">
        <is>
          <t>Draft 9-term prospectus for BSA (191 units) and BSAIS (185 units), proposed AY 2027-2028 academic calendar, and the sample schedule sheet carrying the contact-hour computation. All 8 programmes are now at the same draft stage. NOTE: the calendar in this workbook was drawn on three terms of FIFTEEN academic weeks. The Council decided 14 weeks on 9 Sep 2026, so the calendar must be redrawn — including the enrolment, grade-processing and graduation dates — before any weekly schedule grid is finalised.</t>
        </is>
      </c>
    </row>
    <row r="10" ht="68.75" customHeight="1" s="31">
      <c r="A10" s="17" t="inlineStr">
        <is>
          <t>CHED Region III Citizen's Charter (verified 3 Sep 2026)</t>
        </is>
      </c>
      <c r="B10" s="3" t="inlineStr">
        <is>
          <t>Official CHED source located and read on 3 September 2026. Its checklist for Application for Initial Permit (GP), Government Recognition (GR) and Certificate of Program Compliance (COPC) for Undergraduate Programs contains 18 numbered requirements. Items 1 and 5 to 10 correspond almost word for word to the internal Preliminary Requirement checklist - the same feasibility study headings, the same administrator and faculty spreadsheet fields, the same curriculum breakdown, and the same 3,000 and 5,000 library figures. Nine further requirements on the CHED list do not appear on the internal one: see Open Item 2. Source: https://chedro3.ched.gov.ph/wp-content/uploads/2021/01/CHEDROIII-Updated-Citizens-Charter.pdf</t>
        </is>
      </c>
    </row>
    <row r="11" ht="35" customHeight="1" s="31">
      <c r="A11" s="17" t="inlineStr">
        <is>
          <t>7.1 Distribution of Courses per Trimester — BSCRIM</t>
        </is>
      </c>
      <c r="B11" s="3" t="inlineStr">
        <is>
          <t>Received 3 Sep 2026 as the working template for checklist item 7.1, and as a complete BSCRIM prospectus in its own right (192 units, effective AY 2027-2028, citing CMO 05 s.2018 and CMO 20 s.2013). Not yet a final template - still for discussion. Its structure is set out in section C2 below.</t>
        </is>
      </c>
    </row>
    <row r="12" ht="35" customHeight="1" s="31">
      <c r="A12" s="17" t="inlineStr">
        <is>
          <t>Faculty Roster, First Semester AY 2026-2027</t>
        </is>
      </c>
      <c r="B12" s="3" t="inlineStr">
        <is>
          <t>55 unique faculty (34 full-time, 21 part-time) across six departments, with course counts, units, weekly hours and preps. Prepared by Vice Dean Cruel, recommended by Dean Garcia, approved by VPAA Sta. Ines. Source of the Faculty sheet and of the committee membership in section E.</t>
        </is>
      </c>
    </row>
    <row r="14" ht="15" customHeight="1" s="31">
      <c r="A14" s="27" t="inlineStr">
        <is>
          <t>B. COUNCIL RESOLUTIONS (27 AUGUST 2026)</t>
        </is>
      </c>
      <c r="B14" s="29" t="n"/>
    </row>
    <row r="15" ht="23.75" customHeight="1" s="31">
      <c r="A15" s="17" t="inlineStr">
        <is>
          <t>Resolution No. 2026-08-01</t>
        </is>
      </c>
      <c r="B15" s="3" t="inlineStr">
        <is>
          <t>Endorsement of the proposed transition of BSA, BSAIS, BSBA, BSCS, BSHM, BSCRIM, BEED and BSED from the four-year semestral model to a 3-Year Trimester System, targeted to commence in AY 2027-2028, subject to CHED requirements.</t>
        </is>
      </c>
    </row>
    <row r="16" ht="23.75" customHeight="1" s="31">
      <c r="A16" s="17" t="inlineStr">
        <is>
          <t>Resolution No. 2026-08-02</t>
        </is>
      </c>
      <c r="B16" s="3" t="inlineStr">
        <is>
          <t>New curriculum to apply initially to incoming first-year students from AY 2027-2028. Students admitted earlier continue under their year-of-admission prospectus, subject to an approved transition and teach-out plan covering irregular, returning and transferee students.</t>
        </is>
      </c>
    </row>
    <row r="17" ht="23.75" customHeight="1" s="31">
      <c r="A17" s="17" t="inlineStr">
        <is>
          <t>Resolution No. 2026-08-03</t>
        </is>
      </c>
      <c r="B17" s="3" t="inlineStr">
        <is>
          <t>Mobilisation of the CHED Application Task Force, co-led by Vice Dean Cruel and MIS Head Francisco under the supervision of the Office of the VPAA. Target completion and submission of the consolidated dossier on or before 13 November 2026.</t>
        </is>
      </c>
    </row>
    <row r="19" ht="15" customHeight="1" s="31">
      <c r="A19" s="27" t="inlineStr">
        <is>
          <t>C. CHED ISSUANCES AND AUTHORITY</t>
        </is>
      </c>
      <c r="B19" s="29" t="n"/>
    </row>
    <row r="20" ht="23.75" customHeight="1" s="31">
      <c r="A20" s="17" t="inlineStr">
        <is>
          <t>CMO No. 27 and CMO No. 30, series of 2017</t>
        </is>
      </c>
      <c r="B20" s="3" t="inlineStr">
        <is>
          <t>Cited in the draft curriculum workbook as the basis for BSA and BSAIS contact hours: at least 14 contact hours per unit offered, which is 42 hours for a 3-unit subject. This is the regulatory FLOOR.</t>
        </is>
      </c>
    </row>
    <row r="21" ht="57.5" customHeight="1" s="31">
      <c r="A21" s="17" t="inlineStr">
        <is>
          <t>College standard: 54 hours per 3-unit subject (superseded)</t>
        </is>
      </c>
      <c r="B21" s="3" t="inlineStr">
        <is>
          <t>SUPERSEDED 9 Sep 2026. Was 54 hours, set by the Vice Dean on 3 Sep 2026 when the term length was still open. Now 56 hours per 3-unit subject — see the Contact-hour standard entry in section D2.</t>
        </is>
      </c>
    </row>
    <row r="22" ht="46.25" customHeight="1" s="31">
      <c r="A22" s="17" t="inlineStr">
        <is>
          <t>No CMO governs the checklist</t>
        </is>
      </c>
      <c r="B22" s="3" t="inlineStr">
        <is>
          <t>The internal Preliminary Requirement checklist carries no CMO number, series year or annex - and neither does CHED's own version. The CHED Region III Citizen's Charter presents the same requirements as a GPR Checklist and cites only Section 8 of Republic Act No. 7722, the Higher Education Act of 1994, as the general authority. So the missing CMO is not an omission by the college. Every Tracker row is cited to a checklist item number, which matches how CHED itself presents them. See Open Item 3.</t>
        </is>
      </c>
    </row>
    <row r="24" ht="15" customHeight="1" s="31">
      <c r="A24" s="27" t="inlineStr">
        <is>
          <t>C2. THE CURRICULUM TEMPLATE (from the BSCRIM submission, 3 Sep 2026 - not yet final)</t>
        </is>
      </c>
      <c r="B24" s="29" t="n"/>
    </row>
    <row r="25" ht="35" customHeight="1" s="31">
      <c r="A25" s="17" t="inlineStr">
        <is>
          <t>Header</t>
        </is>
      </c>
      <c r="B25" s="3" t="inlineStr">
        <is>
          <t>Programme name in full. 'Effective Academic Year 2027-2028'. A References line citing that programme's own PSG - BSCRIM uses CMO 05 s.2018 and CMO 20 s.2013; BSA and BSAIS use CMO 27 and CMO 30 s.2017. This is how each row in the dossier gets a real citation: per programme, from its own PSG.</t>
        </is>
      </c>
    </row>
    <row r="26" ht="23.75" customHeight="1" s="31">
      <c r="A26" s="17" t="inlineStr">
        <is>
          <t>Year groupings</t>
        </is>
      </c>
      <c r="B26" s="3" t="inlineStr">
        <is>
          <t>Three named years - the BSCRIM draft uses YEAR I: CORE FOUNDATIONS, YEAR II: PROFESSIONAL SUBJECTS, YEAR III: SPECIALIZATION - each holding three trimesters, numbered Trimester 1 through 9 straight through.</t>
        </is>
      </c>
    </row>
    <row r="27" ht="23.75" customHeight="1" s="31">
      <c r="A27" s="17" t="inlineStr">
        <is>
          <t>Table columns</t>
        </is>
      </c>
      <c r="B27" s="3" t="inlineStr">
        <is>
          <t>Course Code | Course Title | Lec Hrs | Lab Hrs | Total Hrs | Credit Units | Prerequisite(s). One table per trimester, closing with a Sub-Total row that foots all four numeric columns.</t>
        </is>
      </c>
    </row>
    <row r="28" ht="23.75" customHeight="1" s="31">
      <c r="A28" s="17" t="inlineStr">
        <is>
          <t>Summary table (checklist item 7.2)</t>
        </is>
      </c>
      <c r="B28" s="3" t="inlineStr">
        <is>
          <t>Units by category code, then the total: the BSCRIM draft gives GEC 33 (GE Core plus Rizal), GEE 15, PE 8, NSTP 6, Core 19, Major 105, OJT 6, total 192.</t>
        </is>
      </c>
    </row>
    <row r="29" ht="23.75" customHeight="1" s="31">
      <c r="A29" s="17" t="inlineStr">
        <is>
          <t>Closing note</t>
        </is>
      </c>
      <c r="B29" s="3" t="inlineStr">
        <is>
          <t>'Registration in any course is allowed only upon passing the prerequisite(s) of the said course, if any. A course enrolled in violation of this rule will not be given any credit regardless of the grade obtained.'</t>
        </is>
      </c>
    </row>
    <row r="30" ht="23.75" customHeight="1" s="31">
      <c r="A30" s="17" t="inlineStr">
        <is>
          <t>Sign-off chain</t>
        </is>
      </c>
      <c r="B30" s="3" t="inlineStr">
        <is>
          <t>Prepared by: Programme Chairperson. Reviewed by: ALMARIO B. GARCIA, Ph.D., College Dean. Approved by: RAQUEL T. STA INES, Ph.D., Vice President for Academic Affairs. Every programme's item 7.1 follows this route.</t>
        </is>
      </c>
    </row>
    <row r="31" ht="57.5" customHeight="1" s="31">
      <c r="A31" s="17" t="inlineStr">
        <is>
          <t>UNRESOLVED - what basis are the Hrs columns?</t>
        </is>
      </c>
      <c r="B31" s="3" t="inlineStr">
        <is>
          <t>In the BSCRIM draft a 3-unit lecture course reads 3 Lec Hrs, 3 Total Hrs. Those are WEEKLY hours on the old semestral convention: 3 hours a week over 18 weeks is 54 hours. Under the decided 14-week trimester at 56 hours, the same course runs exactly 4.0 weekly hours — a whole number, which the 54-hour figure never gave at either term length. So the column can stay on a weekly basis and simply be restated from 3 to 4. Still to decide before eight programmes populate the template: label the columns as weekly hours (4, 0, 4) or as total term hours (56, 0, 56), or carry both. See Open Item 6.</t>
        </is>
      </c>
    </row>
    <row r="33" ht="15" customHeight="1" s="31">
      <c r="A33" s="27" t="inlineStr">
        <is>
          <t>D. OPEN ITEMS — TO BE RESOLVED, NOT GUESSED</t>
        </is>
      </c>
      <c r="B33" s="29" t="n"/>
    </row>
    <row r="34" ht="124.5" customHeight="1" s="31">
      <c r="A34" s="17" t="inlineStr">
        <is>
          <t>Open Item 1 — RESOLVED 9 Sep 2026</t>
        </is>
      </c>
      <c r="B34" s="3" t="inlineStr">
        <is>
          <t>RESOLVED 9 Sep 2026 — 14 WEEKS. Decided by the Council of Programme Chairs. The contact-hour standard moves from 54 to 56 hours per 3-unit subject so that the week divides into whole periods: 56 hours over 14 weeks is 240 minutes a week, which splits into 2 x 120, 3 x 80 or 4 x 60 minutes. At 54 hours it would have been 231.43 minutes, which divides into nothing usable. 56 hours is 18.67 contact hours per unit against the CMO 27 &amp; 30 floor of 14 — 33 per cent above it, better headroom than the old 54. COSTS OF THE DECISION, recorded so they are not lost: (1) the daily student load over four teaching days rises to 8.00 hours on a 24-unit term and 8.33 on the two 25-unit BSCRIM trimesters; (2) the proposed AY 2027-2028 calendar was drawn on FIFTEEN academic weeks and must be redrawn. TWO THINGS STILL OWED FOR THE DOSSIER: the Council meeting date and the resolution number covering this decision. Note also that the CMO 27 &amp; 30 floor has only been read for BSA and BSAIS — each Chair still owes a check against their own PSG before the dossier states that 56 hours clears the floor for all eight.</t>
        </is>
      </c>
    </row>
    <row r="35" ht="124.5" customHeight="1" s="31">
      <c r="A35" s="17" t="inlineStr">
        <is>
          <t>Open Item 2</t>
        </is>
      </c>
      <c r="B35" s="3" t="inlineStr">
        <is>
          <t>Does the full CHED Region III GPR checklist apply to this application? The internal Preliminary Requirement checklist has 9 sections. The CHED Region III Citizen's Charter checklist for Application for Initial Permit / Government Recognition / COPC for Undergraduate Programs has 18, and items 1 and 5 to 10 match the internal checklist almost word for word - which strongly suggests the internal checklist was drawn from it. Nine requirements on the CHED list do not appear on the internal one at all: Articles of Incorporation and By-Laws; Transfer Certificate of Title, lease contract or proof of ownership of the school building; Certificate of Occupancy in the name of the HEI indicating educational purpose; physical facilities (site, floor area, buildings, classrooms, laboratories); equipment and instructional devices; support facilities (audio-visual room, sports, canteen, lounges); support services (guidance, medical and dental); NSTP coordinator and office; and the school bond of P6,000 plus an application fee of P4,000 and an inspection fee of P4,000. They are NOT in the tracker, because the internal checklist is the agreed source of truth and adding them would be a guess. If Region III confirms they apply, nine rows have to be added and several of them - occupancy certificate, facilities inventory - take real lead time. This is the single most consequential question on the list.   [ Ask: MIS Head Francisco - tracker item 73, ask first ]</t>
        </is>
      </c>
    </row>
    <row r="36" ht="68.75" customHeight="1" s="31">
      <c r="A36" s="17" t="inlineStr">
        <is>
          <t>Open Item 3</t>
        </is>
      </c>
      <c r="B36" s="3" t="inlineStr">
        <is>
          <t>Which route, and therefore which library threshold? The CHED Region III charter distinguishes an INITIAL PERMIT (3,000 library collections) from RECOGNITION (5,000). The eight programmes already exist; only the delivery changes from semestral to trimestral. Confirm whether Region III treats a change in term system as a new permit application, an amendment to existing recognition, or something else - the answer sets the library target for item 68 and decides Open Item 2 with it. Note also that CHED's own charter cites no Memorandum Order for this checklist, only Section 8 of Republic Act No. 7722 as the general authority; so the absence of a CMO on the internal checklist is not an oversight by the college.   [ Ask: MIS Head Francisco - tracker item 73 ]</t>
        </is>
      </c>
    </row>
    <row r="37" ht="35" customHeight="1" s="31">
      <c r="A37" s="17" t="inlineStr">
        <is>
          <t>Open Item 4</t>
        </is>
      </c>
      <c r="B37" s="3" t="inlineStr">
        <is>
          <t>Number of hard copy binders and the soft copy format required by CHED Region III on filing. Note that the charter also lists a school bond and application and inspection fees - confirm whether those are payable here (see Open Item 2).   [ Ask: MIS Head Francisco - tracker item 73 ]</t>
        </is>
      </c>
    </row>
    <row r="38" ht="35" customHeight="1" s="31">
      <c r="A38" s="17" t="inlineStr">
        <is>
          <t>Open Item 5</t>
        </is>
      </c>
      <c r="B38" s="3" t="inlineStr">
        <is>
          <t>HIGHEST WORKLOAD IMPACT. Checklist item 7.4 - are course syllabi required for every course in all 8 programmes, or only for new and re-sequenced courses? The answer governs the 16 October deadline on items 15 to 62 and decides how serious Open Item 8 below really is.   [ Ask: MIS Head Francisco - tracker item 73, due 25 Sep ]</t>
        </is>
      </c>
    </row>
    <row r="39" ht="68.75" customHeight="1" s="31">
      <c r="A39" s="17" t="inlineStr">
        <is>
          <t>Open Item 6</t>
        </is>
      </c>
      <c r="B39" s="3" t="inlineStr">
        <is>
          <t>THE TEMPLATE EXISTS BUT ITS HOURS COLUMNS ARE UNDEFINED. The BSCRIM submission of 3 Sep 2026 is the working template and its structure is settled (section C2). One thing is not: the Lec, Lab and Total Hrs columns are filled in as WEEKLY hours on the old semestral convention — a 3-unit lecture course shows 3 hours, which is 3 a week over 18 weeks, exactly 54. NARROWED 9 Sep 2026 by the Council's decision on Open Item 1: at 14 weeks and 56 hours the same course runs exactly 4.0 weekly hours, a whole number, so the arithmetic no longer fights the column. What remains is purely a labelling choice — restate the column as weekly hours (4, 0, 4), as total term hours (56, 0, 56), or carry both — and it must be settled before the other seven programmes populate the template, or all eight will need reworking.   [ Ask: Vice Dean / Chairs - blocks 48 rows ]</t>
        </is>
      </c>
    </row>
    <row r="40" ht="91" customHeight="1" s="31">
      <c r="A40" s="17" t="inlineStr">
        <is>
          <t>Open Item 7</t>
        </is>
      </c>
      <c r="B40" s="3" t="inlineStr">
        <is>
          <t>GENERAL EDUCATION COURSE CODES DO NOT MATCH ACROSS PROGRAMMES. The General Education Syllabi Pool exists to write each GE course ONCE for all 8 programmes, which only works if the same course carries the same code, units and hour split everywhere. Comparing the two prospectuses in hand: BSA has REL-GEC Religion, Religious Experience and Spirituality, BSCRIM has REL-GEE; BSA has ITE-GEC Living in the I.T. Era at 3 lecture hours, BSCRIM has IT-GEE Living in IT Era (Elective) at 1 lecture and 3 laboratory hours; and the four PATH-FIT courses are discipline-specific in BSCRIM (martial arts, arnis, water safety, marksmanship) against generic titles in BSA, so they cannot be pooled at all. Of the 20 courses the pool was sized on, only about 13 currently match cleanly. Harmonise the GE codes and hour splits across all 8 prospectuses, or the pool will produce syllabi that do not match half the programmes. The true pool size cannot be fixed until all 8 drafts are in.   [ Ask: Vice Dean / Council of Programme Chairs ]   BLOCKS ITEM 74: Chair K. Garcia cannot allocate 20 shared courses whose codes are not agreed, so this has to be settled before the General Education Syllabi Pool allocation due 25 Sep.</t>
        </is>
      </c>
    </row>
    <row r="41" ht="35" customHeight="1" s="31">
      <c r="A41" s="17" t="inlineStr">
        <is>
          <t>Open Item 8</t>
        </is>
      </c>
      <c r="B41" s="3" t="inlineStr">
        <is>
          <t>Who signs the application letter? The CHED Region III charter requires it to be signed by the Chairman of the Board of Trustees or the President, or an authorised representative. The tracker currently shows the VPAA as signatory for item 1. Confirm and, if needed, secure a board authorisation before the letter is finalised.   [ Ask: Vice Dean / Board Secretary ]</t>
        </is>
      </c>
    </row>
    <row r="42" ht="57.5" customHeight="1" s="31">
      <c r="A42" s="17" t="inlineStr">
        <is>
          <t>Open Item 9</t>
        </is>
      </c>
      <c r="B42" s="3" t="inlineStr">
        <is>
          <t>CAPACITY, ACCEPTED BY THE VICE DEAN. With part-time faculty excluded from tasking, BSA and BSAIS have no full-time faculty besides the Chair; BSCS has two. After both college-wide pools, roughly 41 programme-specialised accountancy and AIS courses have no full-time author but the Vice Dean. He has taken this on personally - no decision is needed from anyone else. Recorded so the exposure stays visible: if Open Item 5 comes back requiring syllabi for every course, this is where the project slips first.   [ Ask: Vice Dean - handling personally ]</t>
        </is>
      </c>
    </row>
    <row r="44" ht="15" customHeight="1" s="31">
      <c r="A44" s="27" t="inlineStr">
        <is>
          <t>D2. RESOLVED - DECISIONS ALREADY MADE</t>
        </is>
      </c>
      <c r="B44" s="29" t="n"/>
    </row>
    <row r="45" ht="15" customHeight="1" s="31">
      <c r="A45" s="17" t="inlineStr">
        <is>
          <t>Programme chairs</t>
        </is>
      </c>
      <c r="B45" s="3" t="inlineStr">
        <is>
          <t>Kent E. Garcia chairs BOTH BEED and BSED. Confirmed by the Vice Dean, 2 Sep 2026.</t>
        </is>
      </c>
    </row>
    <row r="46" ht="15" customHeight="1" s="31">
      <c r="A46" s="17" t="inlineStr">
        <is>
          <t>No Admin Office Head</t>
        </is>
      </c>
      <c r="B46" s="3" t="inlineStr">
        <is>
          <t>Dr. Raquel T. Sta. Ines is VPAA and also VP for Administration and Finance. Items 7 and 14 sit with her office. Confirmed 2 Sep 2026.</t>
        </is>
      </c>
    </row>
    <row r="47" ht="23.75" customHeight="1" s="31">
      <c r="A47" s="17" t="inlineStr">
        <is>
          <t>Library team identity</t>
        </is>
      </c>
      <c r="B47" s="3" t="inlineStr">
        <is>
          <t>Sta. Cruz, Ma. Patricia (Teacher Education) and Bernardo, Romeo DG (Hospitality Management) on the faculty roster ARE the library team members named in the project plan - the same people, holding both roles. Confirmed 2 Sep 2026.</t>
        </is>
      </c>
    </row>
    <row r="48" ht="23.75" customHeight="1" s="31">
      <c r="A48" s="17" t="inlineStr">
        <is>
          <t>Library Lead</t>
        </is>
      </c>
      <c r="B48" s="3" t="inlineStr">
        <is>
          <t>There is no appointed head librarian. Annabelle Pastrana is acting Library Lead and owns items 63 to 69. Confirmed 3 Sep 2026. A designation memo still has to be issued and attached to item 63.</t>
        </is>
      </c>
    </row>
    <row r="49" ht="23.75" customHeight="1" s="31">
      <c r="A49" s="17" t="inlineStr">
        <is>
          <t>Cristobal, Teofilo G.</t>
        </is>
      </c>
      <c r="B49" s="3" t="inlineStr">
        <is>
          <t>Full-time in BSCS, not Teacher Education. The roster's main sheet lists him under Teacher Education and should be corrected before filing. Confirmed 3 Sep 2026.</t>
        </is>
      </c>
    </row>
    <row r="50" ht="15" customHeight="1" s="31">
      <c r="A50" s="17" t="inlineStr">
        <is>
          <t>Checklist item 9 in-charge</t>
        </is>
      </c>
      <c r="B50" s="3" t="inlineStr">
        <is>
          <t>Owned by the Programme Chairs. Confirmed by the Vice Dean, 3 Sep 2026.</t>
        </is>
      </c>
    </row>
    <row r="51" ht="35" customHeight="1" s="31">
      <c r="A51" s="17" t="inlineStr">
        <is>
          <t>Task force co-leads</t>
        </is>
      </c>
      <c r="B51" s="3" t="inlineStr">
        <is>
          <t>Dean Dr. Almario B. Garcia added as a third co-lead alongside the Vice Dean and the MIS Head. Directed by the Vice Dean, 3 Sep 2026. Note that Council Resolution 2026-08-03 as minuted designates only two co-leads - the resolution or its implementing memo should be updated to match.</t>
        </is>
      </c>
    </row>
    <row r="52" ht="23.75" customHeight="1" s="31">
      <c r="A52" s="17" t="inlineStr">
        <is>
          <t>Transmittal letter ownership</t>
        </is>
      </c>
      <c r="B52" s="3" t="inlineStr">
        <is>
          <t>Item 1 transferred from the Vice Dean to MIS Head Francisco. Directed by the Vice Dean, 3 Sep 2026. The Vice Dean remains the author of both the transmittal letter and the minutes.</t>
        </is>
      </c>
    </row>
    <row r="53" ht="35" customHeight="1" s="31">
      <c r="A53" s="17" t="inlineStr">
        <is>
          <t>CHED Program Evaluation</t>
        </is>
      </c>
      <c r="B53" s="3" t="inlineStr">
        <is>
          <t>Checklist item 2 is not a CHED form. It is a self-evaluation compilation prepared against each programme's CHED Policies, Standards and Guidelines. Confirmed by the Vice Dean, 3 Sep 2026, and corroborated by the CHED Region III Citizen's Charter, which requires a duly accomplished self-evaluation form per programme on submission.</t>
        </is>
      </c>
    </row>
    <row r="54" ht="23.75" customHeight="1" s="31">
      <c r="A54" s="17" t="inlineStr">
        <is>
          <t>Library threshold criterion</t>
        </is>
      </c>
      <c r="B54" s="3" t="inlineStr">
        <is>
          <t>The CHED Region III charter reads: start-up 3,000 library collections for an initial permit, minimum 5,000 for recognition. The threshold turns on the filing route, not on the programme being new. Which route applies is Open Item 3.</t>
        </is>
      </c>
    </row>
    <row r="55" ht="23.75" customHeight="1" s="31">
      <c r="A55" s="17" t="inlineStr">
        <is>
          <t>Curriculum template</t>
        </is>
      </c>
      <c r="B55" s="3" t="inlineStr">
        <is>
          <t>A working template now exists - the BSCRIM 7.1 Distribution of Courses per Trimester, received 3 Sep 2026. Structure settled (Reference section C2); final form still for discussion, and the hours basis is unresolved (Open Item 6).</t>
        </is>
      </c>
    </row>
    <row r="56" ht="23.75" customHeight="1" s="31">
      <c r="A56" s="17" t="inlineStr">
        <is>
          <t>How each row gets a citation</t>
        </is>
      </c>
      <c r="B56" s="3" t="inlineStr">
        <is>
          <t>Per programme, from that programme's own PSG, carried in the prospectus header. BSCRIM cites CMO 05 s.2018 and CMO 20 s.2013; BSA and BSAIS cite CMO 27 and CMO 30 s.2017. This is the same logic as the PSG-based self-evaluation in checklist item 2.</t>
        </is>
      </c>
    </row>
    <row r="57" ht="23.75" customHeight="1" s="31">
      <c r="A57" s="17" t="inlineStr">
        <is>
          <t>Curriculum sign-off route</t>
        </is>
      </c>
      <c r="B57" s="3" t="inlineStr">
        <is>
          <t>Prepared by the Programme Chairperson, reviewed by College Dean Dr. Almario B. Garcia, approved by VPAA Dr. Raquel T. Sta. Ines. Built into the template.</t>
        </is>
      </c>
    </row>
    <row r="58" ht="23.75" customHeight="1" s="31">
      <c r="A58" s="17" t="inlineStr">
        <is>
          <t>Contact-hour standard</t>
        </is>
      </c>
      <c r="B58" s="3" t="inlineStr">
        <is>
          <t>56 hours per 3-unit subject across all 8 programmes, on a 14-week trimester. Decided by the Council of Programme Chairs, 9 Sep 2026, replacing the 54 hours set on 3 Sep 2026. Equals 18.67 hours per unit against the CMO 27 &amp; 30 floor of 14. A 3-unit subject is 240 minutes a week — 2 x 120, 3 x 80 or 4 x 60; a 6-unit subject is 112 hours; a 24-unit term is 448 hours. The weekly-hours column on the faculty roster no longer equals units: each unit draws exactly 1.333 weekly hours, so a 3-unit course is 4.0 weekly hours. HR must reflect this in the faculty spreadsheet for checklist item 5.1.</t>
        </is>
      </c>
    </row>
    <row r="59" ht="23.75" customHeight="1" s="31">
      <c r="A59" s="17" t="inlineStr">
        <is>
          <t>Assessment scheme</t>
        </is>
      </c>
      <c r="B59" s="3" t="inlineStr">
        <is>
          <t>Two examinations per term - midterm and final - plus one required monthly assessment and regular quizzes and activities. Confirmed by the Vice Dean, 3 Sep 2026. Every syllabus and every weekly schedule grid must carry it.</t>
        </is>
      </c>
    </row>
    <row r="60" ht="23.75" customHeight="1" s="31">
      <c r="A60" s="17" t="inlineStr">
        <is>
          <t>Faculty resignation</t>
        </is>
      </c>
      <c r="B60" s="3" t="inlineStr">
        <is>
          <t>Franco, Nadine Denise resigned. Geronimo, Jing Feng A., LPT continues her teaching load and courses in Hospitality Management, effective 3 Sep 2026.</t>
        </is>
      </c>
    </row>
    <row r="61" ht="15" customHeight="1" s="31">
      <c r="A61" s="17" t="inlineStr">
        <is>
          <t>Name form</t>
        </is>
      </c>
      <c r="B61" s="3" t="inlineStr">
        <is>
          <t>Program Chair Samantha Rose C. Pisto - middle initial to be carried in every document, including the minutes.</t>
        </is>
      </c>
    </row>
    <row r="62" ht="15" customHeight="1" s="31">
      <c r="A62" s="17" t="inlineStr">
        <is>
          <t>Part-time faculty</t>
        </is>
      </c>
      <c r="B62" s="3" t="inlineStr">
        <is>
          <t>Not tasked. All 21 remain on the Faculty sheet for checklist item 5.1 but carry no project work. Directed by the Vice Dean, 3 Sep 2026.</t>
        </is>
      </c>
    </row>
    <row r="63" ht="23.75" customHeight="1" s="31">
      <c r="A63" s="17" t="inlineStr">
        <is>
          <t>CHED coordination</t>
        </is>
      </c>
      <c r="B63" s="3" t="inlineStr">
        <is>
          <t>The five questions needing Region III go to MIS Head Francisco as task force co-lead, tracked as item 73. Directed by the Vice Dean, 3 Sep 2026.</t>
        </is>
      </c>
    </row>
    <row r="64">
      <c r="A64" s="17" t="inlineStr">
        <is>
          <t>Term length</t>
        </is>
      </c>
      <c r="B64" s="3" t="inlineStr">
        <is>
          <t>14 weeks per trimester. Decided by the Council of Programme Chairs, 9 Sep 2026, closing Open Item 1. The contact-hour standard moved to 56 hours per 3-unit subject in the same decision so that the week divides into whole periods. The AY 2027-2028 academic calendar must be redrawn from 15 weeks to 14. Council meeting date and resolution number still to be supplied.</t>
        </is>
      </c>
    </row>
    <row r="65" ht="15" customHeight="1" s="31"/>
    <row r="66" ht="23.75" customHeight="1" s="31">
      <c r="A66" s="27" t="inlineStr">
        <is>
          <t>E. MANPOWER - FULL-TIME CAPACITY BY DEPARTMENT</t>
        </is>
      </c>
      <c r="B66" s="29" t="n"/>
    </row>
    <row r="67" ht="23.75" customHeight="1" s="31">
      <c r="A67" s="17" t="inlineStr">
        <is>
          <t>Rule applied</t>
        </is>
      </c>
      <c r="B67" s="3" t="inlineStr">
        <is>
          <t>Only full-time faculty are tasked. The 21 part-time faculty stay on the Faculty sheet because checklist item 5.1 requires every faculty member teaching general education and major courses, but they carry no project work and sit on no committee.</t>
        </is>
      </c>
    </row>
    <row r="68" ht="15" customHeight="1" s="31">
      <c r="A68" s="17" t="inlineStr">
        <is>
          <t>BSA &amp; BSAIS (Accountancy / AIS)</t>
        </is>
      </c>
      <c r="B68" s="3" t="inlineStr">
        <is>
          <t>6 faculty - 1 full-time (the Vice Dean, who is also the Chair). NO other full-time faculty. 5 part-time CPAs not tasked. The only department in the college with no full-time teaching capacity at all.</t>
        </is>
      </c>
    </row>
    <row r="69" ht="15" customHeight="1" s="31">
      <c r="A69" s="17" t="inlineStr">
        <is>
          <t>BSBA (Business Administration)</t>
        </is>
      </c>
      <c r="B69" s="3" t="inlineStr">
        <is>
          <t>6 faculty - 5 full-time, 4 taskable after the Chair. Supplies the Business Cluster Pool.</t>
        </is>
      </c>
    </row>
    <row r="70" ht="23.75" customHeight="1" s="31">
      <c r="A70" s="17" t="inlineStr">
        <is>
          <t>BS Criminology</t>
        </is>
      </c>
      <c r="B70" s="3" t="inlineStr">
        <is>
          <t>7 faculty - 6 full-time, 5 taskable after the Chair. Self-sufficient.</t>
        </is>
      </c>
    </row>
    <row r="71" ht="23.75" customHeight="1" s="31">
      <c r="A71" s="17" t="inlineStr">
        <is>
          <t>BS Computer Science</t>
        </is>
      </c>
      <c r="B71" s="3" t="inlineStr">
        <is>
          <t>7 faculty - 2 full-time: the Chair and Cristobal, Teofilo G. (confirmed by the Vice Dean as full-time in BSCS, not Teacher Education). 5 part-time not tasked.</t>
        </is>
      </c>
    </row>
    <row r="72" ht="23.75" customHeight="1" s="31">
      <c r="A72" s="17" t="inlineStr">
        <is>
          <t>BS Hospitality Management</t>
        </is>
      </c>
      <c r="B72" s="3" t="inlineStr">
        <is>
          <t>9 faculty - 4 full-time, 3 taskable after the Chair. Self-sufficient. Geronimo, Jing Feng A., LPT replaced Franco, Nadine Denise, who resigned.</t>
        </is>
      </c>
    </row>
    <row r="73">
      <c r="A73" s="17" t="inlineStr">
        <is>
          <t>Teacher Education (BEED / BSED)</t>
        </is>
      </c>
      <c r="B73" s="3" t="inlineStr">
        <is>
          <t>20 faculty - 16 full-time, 14 taskable after the Dean and the Chair. The only department with surplus - it supplies the General Education Syllabi Pool.</t>
        </is>
      </c>
    </row>
    <row r="74" ht="15" customHeight="1" s="31"/>
    <row r="75" ht="46.25" customHeight="1" s="31">
      <c r="A75" s="27" t="inlineStr">
        <is>
          <t>F. WORKING COMMITTEES AND BORROWED MANPOWER  (internal proposal - not a CHED requirement)</t>
        </is>
      </c>
      <c r="B75" s="29" t="n"/>
    </row>
    <row r="76" ht="57.5" customHeight="1" s="31">
      <c r="A76" s="17" t="inlineStr">
        <is>
          <t>General Education Syllabi Pool — lead: Chair Kent E. Garcia</t>
        </is>
      </c>
      <c r="B76" s="3" t="inlineStr">
        <is>
          <t>THE MAIN BORROWING. LEAD: Programme Chair Kent E. Garcia (named 9 Sep 2026). The 20 general education, PATH-FIT, NSTP and CLE courses are common to all 8 programmes, so they are written ONCE for the whole college instead of eight times — removing roughly 140 duplicated syllabi. Drawn from Teacher Education, the only department with surplus full-time capacity. WRITER ALLOCATION, revised 13 Sep 2026 — each writer produces the course description AND the OBE syllabus for every course listed: Ilag, Ferdinand T. — REL-GEC Religion, Religious Experience and Spirituality, CLE 1 Church and Salvation History, STS-GEC Science, Technology and Society. Maglalang, Danica — CLE 2 Evangelism and Discipleship, HIS-GEC Readings in Philippine History, RIZ-GEC Rizal's Life and Works. Calma, Shiela Mae C. — PATH-FIT 1 Movement Competency Training, PATH-FIT 2 Exercise-Based Fitness Activities, NSTP 1. Mequiabas, Meah — PATH-FIT 3 Dance, PATH-FIT 4 Sports, NSTP 2. Manuel, Consuelo V., Dr. — ETH-GEC Ethics, MAT-GEC Mathematics in the Modern World, BL-GEC Business Logic. Tolosa, Nenita — ART-GEC Art Appreciation, COM-GEC Purposive Communication, US-GEC Understanding the Self. Jamlang, Jamie A. — CON-GEC The Contemporary World, ITE-GEC Living in the I.T. Era (two only, on the heaviest teaching load in the pool). AQUINO, AGNES M., Dr. WAS MOVED OUT OF THIS POOL on 13 Sep 2026 by direction of the Vice Dean — she writes BEED/BSED major courses under item 79 instead, and the pool went from eight writers to seven. Internal hand-in to the lead: descriptions 9 Oct 2026, syllabi 16 Oct 2026. CAVEATS: the codes above are the BSA and BSAIS spellings and Open Item 7 must close before the allocation is final — it blocks item 74; and NSTP 1 is the prerequisite of NSTP 2, now with different writers, so Calma and Mequiabas must agree the pair.</t>
        </is>
      </c>
    </row>
    <row r="77" ht="23.75" customHeight="1" s="31">
      <c r="A77" s="17" t="inlineStr">
        <is>
          <t>Business Cluster Pool — lead: Chair Ranilo S. Castillo II</t>
        </is>
      </c>
      <c r="B77" s="3" t="inlineStr">
        <is>
          <t>SECOND BORROWING. LEAD: Programme Chair Ranilo S. Castillo II (named 9 Sep 2026). The shared business, economics and law courses are written once for BSA, BSAIS, BSBA and BSHM by BSBA's four full-time faculty. CANDIDATE COURSE LIST, 13 courses, read off the BSA and BSAIS prospectus on 13 Sep 2026 and NOT YET CONFIRMED — the lead's first task under item 75 is to check each one against the BSBA and BSHM prospectuses before writing starts. WRITER ALLOCATION, issued 13 Sep 2026 — description AND OBE syllabus for each course: Salas, Kristine Joy — AE1-BL1 Law on Obligations and Contracts, AE2-BL2 Business Laws and Regulations, AE3-BL3 Regulatory Framework and Legal Issues in Business. Aquino, Ann Jellie B. — AE11-ECO1 Managerial Economics, AE12-ECO2 Economic Development, AE5-IBT International Business and Trade. Bauat, Jhosalyn — CBME 1 Operations Management and TQM, CBME 2 Strategic Management, AE4-MGT1 Management Science, PE1-HBO Human Behavior in Organizations. Dela Cruz, Jacqueline — AE19-FINMGT Financial Management, AE18-FINMKT Financial Markets, AE10-GOV Governance, Business Ethics, Risk Management and Internal Control. Bauat takes the fourth course as the only pool writer on no third committee; Dela Cruz is held to three because she also sits on the Library Collection Committee. Internal hand-in to the lead: descriptions 9 Oct 2026, syllabi 16 Oct 2026. LOAD WARNING: these same four faculty also write the BSBA major courses under item 80, on 24 units each — after the Vice Dean this is the heaviest writing load in the college, and both allocations should be published together so each writer's total is visible.</t>
        </is>
      </c>
    </row>
    <row r="78" ht="46.25" customHeight="1" s="31">
      <c r="A78" s="17" t="inlineStr">
        <is>
          <t>Curriculum &amp; Syllabi Committee</t>
        </is>
      </c>
      <c r="B78" s="3" t="inlineStr">
        <is>
          <t>One per programme, chaired by that Programme Chair, made up of the department's full-time faculty. Covers whatever the two pools do not — the programme-specialised courses. Each Chair publishes a departmental WRITER ALLOCATION naming which faculty member writes which major course, due 25 Sep 2026 and tracked as items 76 (BSCRIM, Chair Pisto), 77 (BSHM, Chair Ciasico), 78 (BSCS, Chair Diamat), 79 (BEED and BSED, Chair K. Garcia — the six Teacher Education faculty not in the GE pool) and 80 (BSBA, Chair Castillo). Until those are published, the 15 faculty concerned hold a counted task with fixed hand-in dates on the Faculty sheet rather than named courses. BSA and BSAIS have no full-time members here: see Open Item 9. BSCS has one, which is why item 78 carries a capacity warning.</t>
        </is>
      </c>
    </row>
    <row r="79" ht="23.75" customHeight="1" s="31">
      <c r="A79" s="17" t="inlineStr">
        <is>
          <t>Library Collection Committee</t>
        </is>
      </c>
      <c r="B79" s="3" t="inlineStr">
        <is>
          <t>Chaired by Library Lead Pastrana. Full-time faculty, one per department: Bernardo, Romeo DG, Dela Cruz, Jacqueline, Ramos, Leandro M., Sta. Cruz, Ma. Patricia. Supports items 66 and 67; Sta. Cruz and Bernardo, who are the library team named in the project plan, also carry items 68 and 69 on top of full teaching loads. BSA/BSAIS and BSCS have too few full-time faculty to seat, so their subject title lists fall to the Chairs.</t>
        </is>
      </c>
    </row>
    <row r="80" ht="35" customHeight="1" s="31">
      <c r="A80" s="17" t="inlineStr">
        <is>
          <t>Feasibility &amp; Market Study Committee</t>
        </is>
      </c>
      <c r="B80" s="3" t="inlineStr">
        <is>
          <t>Chaired by MIS Head Francisco. Full-time faculty, one per department: Ablaya, Stephanie, Aquino, Ann Jellie B., Arimbuyutan, Jazzele M., Dela Cruz, Jonathan. Supports items 4, 5 and 6.</t>
        </is>
      </c>
    </row>
    <row r="81">
      <c r="A81" s="17" t="inlineStr">
        <is>
          <t>Records &amp; Documents</t>
        </is>
      </c>
      <c r="B81" s="3" t="inlineStr">
        <is>
          <t>Not a faculty committee. HR Officer Dela Cruz owns items 9 to 13; the VPAA, who also holds the VP for Administration and Finance portfolio, owns items 7 and 14. Faculty contribute only their own certified true copy transcripts and signed contracts - and here ALL faculty, part-time included, must supply documents, because checklist item 5.1 covers the whole roster.</t>
        </is>
      </c>
    </row>
    <row r="82" ht="15" customHeight="1" s="31"/>
    <row r="83" ht="15" customHeight="1" s="31">
      <c r="A83" s="27" t="inlineStr">
        <is>
          <t>G. PROGRESS ROLL-UP (updates itself from the Tracker)</t>
        </is>
      </c>
      <c r="B83" s="29" t="n"/>
    </row>
    <row r="84" ht="15" customHeight="1" s="31">
      <c r="A84" s="18" t="inlineStr">
        <is>
          <t>Total requirements</t>
        </is>
      </c>
      <c r="B84" s="19">
        <f>COUNT(Tracker!$A$5:$A$90)</f>
        <v/>
      </c>
    </row>
    <row r="85" ht="15" customHeight="1" s="31">
      <c r="A85" s="18" t="inlineStr">
        <is>
          <t>Not started</t>
        </is>
      </c>
      <c r="B85" s="19">
        <f>COUNTIF(Tracker!$G$5:$G$90,"Not started")</f>
        <v/>
      </c>
    </row>
    <row r="86" ht="15" customHeight="1" s="31">
      <c r="A86" s="18" t="inlineStr">
        <is>
          <t>In progress</t>
        </is>
      </c>
      <c r="B86" s="19">
        <f>COUNTIF(Tracker!$G$5:$G$90,"In progress")</f>
        <v/>
      </c>
    </row>
    <row r="87" ht="15" customHeight="1" s="31">
      <c r="A87" s="18" t="inlineStr">
        <is>
          <t>For review</t>
        </is>
      </c>
      <c r="B87" s="19">
        <f>COUNTIF(Tracker!$G$5:$G$90,"For review")</f>
        <v/>
      </c>
    </row>
    <row r="88" ht="15" customHeight="1" s="31">
      <c r="A88" s="18" t="inlineStr">
        <is>
          <t>Done</t>
        </is>
      </c>
      <c r="B88" s="19">
        <f>COUNTIF(Tracker!$G$5:$G$90,"Done")</f>
        <v/>
      </c>
    </row>
    <row r="89" ht="15" customHeight="1" s="31">
      <c r="A89" s="18" t="inlineStr">
        <is>
          <t>Overall completion</t>
        </is>
      </c>
      <c r="B89" s="20">
        <f>IFERROR(AVERAGE(Tracker!$H$5:$H$90),0)</f>
        <v/>
      </c>
    </row>
    <row r="90" ht="15" customHeight="1" s="31">
      <c r="A90" s="18" t="inlineStr">
        <is>
          <t>Items overdue today</t>
        </is>
      </c>
      <c r="B90" s="19">
        <f>COUNTIFS(Tracker!$F$5:$F$90,"&lt;"&amp;TODAY(),Tracker!$G$5:$G$90,"&lt;&gt;Done")</f>
        <v/>
      </c>
    </row>
    <row r="91" ht="15" customHeight="1" s="31">
      <c r="A91" s="18" t="inlineStr">
        <is>
          <t>Items due within 7 days</t>
        </is>
      </c>
      <c r="B91" s="19">
        <f>COUNTIFS(Tracker!$F$5:$F$90,"&gt;="&amp;TODAY(),Tracker!$F$5:$F$90,"&lt;="&amp;TODAY()+7,Tracker!$G$5:$G$90,"&lt;&gt;Done")</f>
        <v/>
      </c>
    </row>
    <row r="92" ht="15" customHeight="1" s="31">
      <c r="A92" s="18" t="inlineStr">
        <is>
          <t>Faculty on the roster</t>
        </is>
      </c>
      <c r="B92" s="19">
        <f>COUNTA(Faculty!$B$5:$B$59)</f>
        <v/>
      </c>
    </row>
    <row r="93" ht="15" customHeight="1" s="31">
      <c r="A93" s="18" t="inlineStr">
        <is>
          <t>Full-time faculty tasked</t>
        </is>
      </c>
      <c r="B93" s="19">
        <f>COUNTIF(Faculty!$E$5:$E$59,"FT")</f>
        <v/>
      </c>
    </row>
    <row r="94" ht="15" customHeight="1" s="31">
      <c r="A94" s="18" t="inlineStr">
        <is>
          <t>Part-time faculty not tasked</t>
        </is>
      </c>
      <c r="B94" s="19">
        <f>COUNTIF(Faculty!$E$5:$E$59,"PT")</f>
        <v/>
      </c>
    </row>
    <row r="95">
      <c r="A95" s="18" t="inlineStr">
        <is>
          <t>Days to the 13 Nov 2026 filing target</t>
        </is>
      </c>
      <c r="B95" s="19">
        <f>DATE(2026,11,13)-TODAY()</f>
        <v/>
      </c>
    </row>
    <row r="96" ht="15" customHeight="1" s="31"/>
    <row r="97" ht="15" customHeight="1" s="31">
      <c r="A97" s="27" t="inlineStr">
        <is>
          <t>H. HOW TO USE THIS WORKBOOK</t>
        </is>
      </c>
      <c r="B97" s="29" t="n"/>
    </row>
    <row r="98" ht="23.75" customHeight="1" s="31">
      <c r="A98" s="17" t="inlineStr">
        <is>
          <t>Yellow cells</t>
        </is>
      </c>
      <c r="B98" s="3" t="inlineStr">
        <is>
          <t>On the Tracker, only the Status, % and Notes columns are yours to edit. Everything else is fixed so the roll-ups stay reliable.</t>
        </is>
      </c>
    </row>
    <row r="99" ht="23.75" customHeight="1" s="31">
      <c r="A99" s="17" t="inlineStr">
        <is>
          <t>Status</t>
        </is>
      </c>
      <c r="B99" s="3" t="inlineStr">
        <is>
          <t>Pick from the drop-down only: Not started, In progress, For review, Done. Anything else is rejected, because the counts above depend on these exact words.</t>
        </is>
      </c>
    </row>
    <row r="100" ht="23.75" customHeight="1" s="31">
      <c r="A100" s="17" t="inlineStr">
        <is>
          <t>Colours on the Tracker</t>
        </is>
      </c>
      <c r="B100" s="3" t="inlineStr">
        <is>
          <t>A row shaded orange is past its due date and not yet Done. A row shaded amber is due within seven days. Green in the Status column means Done.</t>
        </is>
      </c>
    </row>
    <row r="101" ht="23.75" customHeight="1" s="31">
      <c r="A101" s="17" t="inlineStr">
        <is>
          <t>Filtering</t>
        </is>
      </c>
      <c r="B101" s="3" t="inlineStr">
        <is>
          <t>Row 4 on the Tracker, Assignments and Faculty sheets has filters. A Program Chair can filter the Owner column to their own name and see only their items; a faculty member can find their own row on the Faculty sheet.</t>
        </is>
      </c>
    </row>
    <row r="102">
      <c r="A102" s="17" t="inlineStr">
        <is>
          <t>One owner per item</t>
        </is>
      </c>
      <c r="B102" s="3" t="inlineStr">
        <is>
          <t>Every one of the 80 items has exactly one accountable owner. Faculty and committees are support — they contribute the work, but the named owner answers for delivery. All five working bodies have a named lead: the eight Curriculum &amp; Syllabi Committees (each Programme Chair), the Library Collection Committee (Pastrana), the Feasibility &amp; Market Study Committee (Francisco) and the two college-wide pools (K. Garcia and Castillo). Since 13 September 2026 every full-time faculty member also carries a named specific task in the Specific task assigned column of the Faculty sheet — the 12 pool writers by course, the other 15 as a counted task pending their Chair's allocation under items 76 to 80.</t>
        </is>
      </c>
    </row>
  </sheetData>
  <mergeCells count="12">
    <mergeCell ref="A96:B96"/>
    <mergeCell ref="A24:B24"/>
    <mergeCell ref="A2:B2"/>
    <mergeCell ref="A82:B82"/>
    <mergeCell ref="A65:B65"/>
    <mergeCell ref="A19:B19"/>
    <mergeCell ref="A33:B33"/>
    <mergeCell ref="A5:B5"/>
    <mergeCell ref="A14:B14"/>
    <mergeCell ref="A44:B44"/>
    <mergeCell ref="A74:B74"/>
    <mergeCell ref="A1:B1"/>
  </mergeCells>
  <pageMargins left="0.75" right="0.75" top="1" bottom="1" header="0.511811023622047" footer="0.511811023622047"/>
  <pageSetup orientation="landscape" fitToHeight="0" horizontalDpi="300" verticalDpi="300"/>
</worksheet>
</file>

<file path=xl/worksheets/sheet4.xml><?xml version="1.0" encoding="utf-8"?>
<worksheet xmlns="http://schemas.openxmlformats.org/spreadsheetml/2006/main">
  <sheetPr>
    <outlinePr summaryBelow="1" summaryRight="1"/>
    <pageSetUpPr fitToPage="1"/>
  </sheetPr>
  <dimension ref="A1:K65"/>
  <sheetViews>
    <sheetView zoomScaleNormal="100" workbookViewId="0">
      <pane ySplit="4" topLeftCell="A5" activePane="bottomLeft" state="frozen"/>
      <selection pane="bottomLeft" activeCell="A1" sqref="A1"/>
    </sheetView>
  </sheetViews>
  <sheetFormatPr baseColWidth="10" defaultColWidth="8.6640625" defaultRowHeight="15"/>
  <cols>
    <col width="5" customWidth="1" style="31" min="1" max="1"/>
    <col width="28" customWidth="1" style="31" min="2" max="2"/>
    <col width="11" customWidth="1" style="31" min="3" max="3"/>
    <col width="26" customWidth="1" style="31" min="4" max="4"/>
    <col width="8" customWidth="1" style="31" min="5" max="5"/>
    <col width="9" customWidth="1" style="31" min="6" max="6"/>
    <col width="7" customWidth="1" style="31" min="7" max="7"/>
    <col width="46" customWidth="1" style="31" min="8" max="8"/>
    <col width="82" customWidth="1" style="31" min="9" max="9"/>
    <col width="40" customWidth="1" style="31" min="10" max="10"/>
  </cols>
  <sheetData>
    <row r="1" ht="16.25" customHeight="1" s="31">
      <c r="A1" s="32" t="inlineStr">
        <is>
          <t>FACULTY — COMMITTEE ASSIGNMENTS</t>
        </is>
      </c>
    </row>
    <row r="2" ht="33.75" customHeight="1" s="31">
      <c r="A2" s="30" t="inlineStr">
        <is>
          <t>Complete roster, First Semester AY 2026–2027 (55 faculty; 34 full-time, 21 part-time). The full list is kept because checklist item 5.1 requires every faculty member in general education and major courses. Only full-time faculty are tasked. Current load is shown so Chairs can allocate drafting fairly.</t>
        </is>
      </c>
    </row>
    <row r="4" ht="30" customHeight="1" s="31">
      <c r="A4" s="1" t="inlineStr">
        <is>
          <t>#</t>
        </is>
      </c>
      <c r="B4" s="1" t="inlineStr">
        <is>
          <t>Faculty name</t>
        </is>
      </c>
      <c r="C4" s="1" t="inlineStr">
        <is>
          <t>Credential</t>
        </is>
      </c>
      <c r="D4" s="1" t="inlineStr">
        <is>
          <t>Department</t>
        </is>
      </c>
      <c r="E4" s="1" t="inlineStr">
        <is>
          <t>FT / PT</t>
        </is>
      </c>
      <c r="F4" s="1" t="inlineStr">
        <is>
          <t>Units this sem.</t>
        </is>
      </c>
      <c r="G4" s="1" t="inlineStr">
        <is>
          <t>Preps</t>
        </is>
      </c>
      <c r="H4" s="1" t="inlineStr">
        <is>
          <t>Committee assignment</t>
        </is>
      </c>
      <c r="I4" s="1" t="inlineStr">
        <is>
          <t>Specific task assigned</t>
        </is>
      </c>
      <c r="J4" s="1" t="inlineStr">
        <is>
          <t>Tracker items supporting</t>
        </is>
      </c>
      <c r="K4" s="1" t="inlineStr">
        <is>
          <t>Notes</t>
        </is>
      </c>
    </row>
    <row r="5" ht="23.75" customHeight="1" s="31">
      <c r="A5" s="2" t="n">
        <v>1</v>
      </c>
      <c r="B5" s="3" t="inlineStr">
        <is>
          <t>Cruel, Ken Gie Anthony</t>
        </is>
      </c>
      <c r="C5" s="21" t="inlineStr">
        <is>
          <t>CPA</t>
        </is>
      </c>
      <c r="D5" s="3" t="inlineStr">
        <is>
          <t>BSA &amp; BSAIS (Accountancy / AIS)</t>
        </is>
      </c>
      <c r="E5" s="2" t="inlineStr">
        <is>
          <t>FT</t>
        </is>
      </c>
      <c r="F5" s="2" t="n">
        <v>12</v>
      </c>
      <c r="G5" s="2" t="n">
        <v>4</v>
      </c>
      <c r="H5" s="3" t="inlineStr">
        <is>
          <t>Curriculum &amp; Syllabi — BSA/BSAIS</t>
        </is>
      </c>
      <c r="I5" s="3" t="inlineStr">
        <is>
          <t>PROGRAM CHAIR (BSA and BSAIS) and VICE DEAN — owns tracker items 2, 3, 15 to 26, 71 and 72. Sole full-time author of the roughly 41 programme-specialised accountancy and AIS course descriptions and syllabi (Open Item 9); the 20 general education courses and the 13 shared business courses are lifted off this load by the two college-wide pools. Also runs the compliance audit of all eight programmes' curriculum submissions. Descriptions 9 Oct 2026, syllabi 16 Oct 2026. Records obligation on top, compulsory for all faculty: certified true copy of Transcript of Records and signed contract to HR by 30 Oct 2026 (items 12–13).  PROPOSED FIRST YEAR TRIMESTER LOADING — teaches AE11-ECO1 Managerial Economics (T1), AE15-IA1 Intermediate Accounting 1 (T2), AE22-CAC Cost Accounting and Control (T3). Writes the course description and the outcomes-based syllabus for each of those courses, for review by the Program Chair.</t>
        </is>
      </c>
      <c r="J5" s="21" t="inlineStr">
        <is>
          <t>#19–20, 25–26</t>
        </is>
      </c>
      <c r="K5" s="3" t="inlineStr">
        <is>
          <t>Listed in the leadership block of the Assignment Matrix as Vice Dean Ken Gie Anthony G. Cruel.</t>
        </is>
      </c>
    </row>
    <row r="6" ht="23.75" customHeight="1" s="31">
      <c r="A6" s="22" t="n">
        <v>2</v>
      </c>
      <c r="B6" s="12" t="inlineStr">
        <is>
          <t>Carasco, Ryan Jay</t>
        </is>
      </c>
      <c r="C6" s="23" t="inlineStr">
        <is>
          <t>CPA</t>
        </is>
      </c>
      <c r="D6" s="12" t="inlineStr">
        <is>
          <t>BSA &amp; BSAIS (Accountancy / AIS)</t>
        </is>
      </c>
      <c r="E6" s="22" t="inlineStr">
        <is>
          <t>PT</t>
        </is>
      </c>
      <c r="F6" s="22" t="n">
        <v>6</v>
      </c>
      <c r="G6" s="22" t="n">
        <v>2</v>
      </c>
      <c r="H6" s="12" t="inlineStr">
        <is>
          <t>Not tasked — part-time</t>
        </is>
      </c>
      <c r="I6" s="3" t="inlineStr">
        <is>
          <t>Not tasked with project work (part-time). Records obligation only, and it is compulsory: submit your certified true copy of Transcript of Records and your signed appointment / contract / letter of commitment to HR Officer Dela Cruz by 30 Oct 2026 — checklist items 5.2 and 5.3, tracker items 12 and 13.</t>
        </is>
      </c>
      <c r="J6" s="23" t="inlineStr">
        <is>
          <t>—</t>
        </is>
      </c>
      <c r="K6" s="12" t="inlineStr">
        <is>
          <t>Part-time. Not named in the First Year trimester loading — task him when the Second and Third Year loadings are drawn.</t>
        </is>
      </c>
    </row>
    <row r="7" ht="23.75" customHeight="1" s="31">
      <c r="A7" s="22" t="n">
        <v>3</v>
      </c>
      <c r="B7" s="12" t="inlineStr">
        <is>
          <t>Cruz, Rommel</t>
        </is>
      </c>
      <c r="C7" s="23" t="inlineStr">
        <is>
          <t>CPA</t>
        </is>
      </c>
      <c r="D7" s="12" t="inlineStr">
        <is>
          <t>BSA &amp; BSAIS (Accountancy / AIS)</t>
        </is>
      </c>
      <c r="E7" s="22" t="inlineStr">
        <is>
          <t>PT</t>
        </is>
      </c>
      <c r="F7" s="22" t="n">
        <v>6</v>
      </c>
      <c r="G7" s="22" t="n">
        <v>2</v>
      </c>
      <c r="H7" s="12" t="inlineStr">
        <is>
          <t>Curriculum &amp; Syllabi — BSA/BSAIS professional courses</t>
        </is>
      </c>
      <c r="I7" s="3" t="inlineStr">
        <is>
          <t>PROPOSED FIRST YEAR TRIMESTER LOADING — teaches AE19-FINMGT Financial Management (T3). Writes the course description and the outcomes-based syllabus for each of those courses, for review by the Program Chair.</t>
        </is>
      </c>
      <c r="J7" s="23" t="inlineStr">
        <is>
          <t>#19–20, 25–26</t>
        </is>
      </c>
      <c r="K7" s="12" t="inlineStr">
        <is>
          <t>Part-time, but named in the Proposed Faculty Loading, so tasked with the courses that loading gives them.</t>
        </is>
      </c>
    </row>
    <row r="8" ht="23.75" customHeight="1" s="31">
      <c r="A8" s="22" t="n">
        <v>4</v>
      </c>
      <c r="B8" s="12" t="inlineStr">
        <is>
          <t>Empay, Jan Rhommer</t>
        </is>
      </c>
      <c r="C8" s="23" t="inlineStr">
        <is>
          <t>CPA</t>
        </is>
      </c>
      <c r="D8" s="12" t="inlineStr">
        <is>
          <t>BSA &amp; BSAIS (Accountancy / AIS)</t>
        </is>
      </c>
      <c r="E8" s="22" t="inlineStr">
        <is>
          <t>PT</t>
        </is>
      </c>
      <c r="F8" s="22" t="n">
        <v>9</v>
      </c>
      <c r="G8" s="22" t="n">
        <v>3</v>
      </c>
      <c r="H8" s="12" t="inlineStr">
        <is>
          <t>Curriculum &amp; Syllabi — BSA/BSAIS professional courses</t>
        </is>
      </c>
      <c r="I8" s="3" t="inlineStr">
        <is>
          <t>PROPOSED FIRST YEAR TRIMESTER LOADING — teaches CBME 1 Operations Management and TQM (T1), AE1-BL1 Law on Obligations and Contracts (T3). Writes the course description and the outcomes-based syllabus for each of those courses, for review by the Program Chair.</t>
        </is>
      </c>
      <c r="J8" s="23" t="inlineStr">
        <is>
          <t>#19–20, 25–26</t>
        </is>
      </c>
      <c r="K8" s="12" t="inlineStr">
        <is>
          <t>Part-time, but named in the Proposed Faculty Loading, so tasked with the courses that loading gives them.</t>
        </is>
      </c>
    </row>
    <row r="9" ht="23.75" customHeight="1" s="31">
      <c r="A9" s="22" t="n">
        <v>5</v>
      </c>
      <c r="B9" s="12" t="inlineStr">
        <is>
          <t>Francisco, Josephine Rose</t>
        </is>
      </c>
      <c r="C9" s="23" t="inlineStr">
        <is>
          <t>CPA</t>
        </is>
      </c>
      <c r="D9" s="12" t="inlineStr">
        <is>
          <t>BSA &amp; BSAIS (Accountancy / AIS)</t>
        </is>
      </c>
      <c r="E9" s="22" t="inlineStr">
        <is>
          <t>PT</t>
        </is>
      </c>
      <c r="F9" s="22" t="n">
        <v>9</v>
      </c>
      <c r="G9" s="22" t="n">
        <v>3</v>
      </c>
      <c r="H9" s="12" t="inlineStr">
        <is>
          <t>Curriculum &amp; Syllabi — BSA/BSAIS professional courses</t>
        </is>
      </c>
      <c r="I9" s="3" t="inlineStr">
        <is>
          <t>PROPOSED FIRST YEAR TRIMESTER LOADING — teaches AE13-FAR Financial Accounting and Reporting (T1), AE14-CFAS Conceptual Framework and Accounting Standards (T2). Writes the course description and the outcomes-based syllabus for each of those courses, for review by the Program Chair.</t>
        </is>
      </c>
      <c r="J9" s="23" t="inlineStr">
        <is>
          <t>#19–20, 25–26</t>
        </is>
      </c>
      <c r="K9" s="12" t="inlineStr">
        <is>
          <t>Part-time, but named in the Proposed Faculty Loading, so tasked with the courses that loading gives them.</t>
        </is>
      </c>
    </row>
    <row r="10" ht="23.75" customHeight="1" s="31">
      <c r="A10" s="22" t="n">
        <v>6</v>
      </c>
      <c r="B10" s="12" t="inlineStr">
        <is>
          <t>Santiago, Decirae Nicole</t>
        </is>
      </c>
      <c r="C10" s="23" t="inlineStr">
        <is>
          <t>CPA</t>
        </is>
      </c>
      <c r="D10" s="12" t="inlineStr">
        <is>
          <t>BSA &amp; BSAIS (Accountancy / AIS)</t>
        </is>
      </c>
      <c r="E10" s="22" t="inlineStr">
        <is>
          <t>PT</t>
        </is>
      </c>
      <c r="F10" s="22" t="n">
        <v>6</v>
      </c>
      <c r="G10" s="22" t="n">
        <v>2</v>
      </c>
      <c r="H10" s="12" t="inlineStr">
        <is>
          <t>Curriculum &amp; Syllabi — BSA/BSAIS professional courses</t>
        </is>
      </c>
      <c r="I10" s="3" t="inlineStr">
        <is>
          <t>PROPOSED FIRST YEAR TRIMESTER LOADING — teaches AE4-MGT1 Management Science (T3). Writes the course description and the outcomes-based syllabus for each of those courses, for review by the Program Chair.</t>
        </is>
      </c>
      <c r="J10" s="23" t="inlineStr">
        <is>
          <t>#19–20, 25–26</t>
        </is>
      </c>
      <c r="K10" s="12" t="inlineStr">
        <is>
          <t>Part-time, but named in the Proposed Faculty Loading, so tasked with the courses that loading gives them.</t>
        </is>
      </c>
    </row>
    <row r="11" ht="23.75" customHeight="1" s="31">
      <c r="A11" s="2" t="n">
        <v>7</v>
      </c>
      <c r="B11" s="3" t="inlineStr">
        <is>
          <t>Aquino, Ann Jellie B.</t>
        </is>
      </c>
      <c r="C11" s="21" t="n"/>
      <c r="D11" s="3" t="inlineStr">
        <is>
          <t>BSBA (Business Administration)</t>
        </is>
      </c>
      <c r="E11" s="2" t="inlineStr">
        <is>
          <t>FT</t>
        </is>
      </c>
      <c r="F11" s="2" t="n">
        <v>24</v>
      </c>
      <c r="G11" s="2" t="n">
        <v>6</v>
      </c>
      <c r="H11" s="3" t="inlineStr">
        <is>
          <t>Curriculum &amp; Syllabi — BSBA; Business Cluster Pool (BSA/BSAIS/BSBA/BSHM); Feasibility &amp; Market Study</t>
        </is>
      </c>
      <c r="I11" s="3" t="inlineStr">
        <is>
          <t>BUSINESS CLUSTER POOL (tracker item 75) — write the COURSE DESCRIPTION and the OBE SYLLABUS for 3 allocated courses, one set serving BSA, BSAIS, BSBA and BSHM: AE11-ECO1 Managerial Economics; AE12-ECO2 Economic Development; AE5-IBT International Business and Trade. 6 documents in total. Common syllabus template: 14-week trimester, 56 hours per 3-unit course, two examinations (midterm and final) plus one required monthly assessment and regular quizzes. Hand in to Chair Ranilo S. Castillo II: descriptions 9 Oct 2026, syllabi 16 Oct 2026. CANDIDATE LIST — these 13 shared courses were read off the BSA and BSAIS prospectus; Chair Ranilo S. Castillo II confirms them against the BSBA and BSHM prospectuses under item 75 before writing starts. Also carries a share of the BSBA programme-specialised courses under item 80. Also sits on the Feasibility &amp; Market Study Committee (items 4 to 6). Records obligation on top, compulsory for all faculty: certified true copy of Transcript of Records and signed contract to HR by 30 Oct 2026 (items 12–13).</t>
        </is>
      </c>
      <c r="J11" s="21" t="inlineStr">
        <is>
          <t>#4–6, 19–20, 25–26, 31–32, 43–44</t>
        </is>
      </c>
      <c r="K11" s="3" t="n"/>
    </row>
    <row r="12" ht="23.75" customHeight="1" s="31">
      <c r="A12" s="2" t="n">
        <v>8</v>
      </c>
      <c r="B12" s="3" t="inlineStr">
        <is>
          <t>Bauat, Jhosalyn</t>
        </is>
      </c>
      <c r="C12" s="21" t="n"/>
      <c r="D12" s="3" t="inlineStr">
        <is>
          <t>BSBA (Business Administration)</t>
        </is>
      </c>
      <c r="E12" s="2" t="inlineStr">
        <is>
          <t>FT</t>
        </is>
      </c>
      <c r="F12" s="2" t="n">
        <v>24</v>
      </c>
      <c r="G12" s="2" t="n">
        <v>6</v>
      </c>
      <c r="H12" s="3" t="inlineStr">
        <is>
          <t>Curriculum &amp; Syllabi — BSBA; Business Cluster Pool (BSA/BSAIS/BSBA/BSHM)</t>
        </is>
      </c>
      <c r="I12" s="3" t="inlineStr">
        <is>
          <t>BUSINESS CLUSTER POOL (tracker item 75) — write the COURSE DESCRIPTION and the OBE SYLLABUS for 4 allocated courses, one set serving BSA, BSAIS, BSBA and BSHM: CBME 1 Operations Management and TQM; CBME 2 Strategic Management; AE4-MGT1 Management Science; PE1-HBO Human Behavior in Organizations. 8 documents in total. Common syllabus template: 14-week trimester, 56 hours per 3-unit course, two examinations (midterm and final) plus one required monthly assessment and regular quizzes. Hand in to Chair Ranilo S. Castillo II: descriptions 9 Oct 2026, syllabi 16 Oct 2026. CANDIDATE LIST — these 13 shared courses were read off the BSA and BSAIS prospectus; Chair Ranilo S. Castillo II confirms them against the BSBA and BSHM prospectuses under item 75 before writing starts. Also carries a share of the BSBA programme-specialised courses under item 80. Takes the fourth course because she is the only pool writer on no third committee. Records obligation on top, compulsory for all faculty: certified true copy of Transcript of Records and signed contract to HR by 30 Oct 2026 (items 12–13).</t>
        </is>
      </c>
      <c r="J12" s="21" t="inlineStr">
        <is>
          <t>#19–20, 25–26, 31–32, 43–44</t>
        </is>
      </c>
      <c r="K12" s="3" t="n"/>
    </row>
    <row r="13" ht="23.75" customHeight="1" s="31">
      <c r="A13" s="2" t="n">
        <v>9</v>
      </c>
      <c r="B13" s="3" t="inlineStr">
        <is>
          <t>Castillo, Ranilo S.</t>
        </is>
      </c>
      <c r="C13" s="21" t="n"/>
      <c r="D13" s="3" t="inlineStr">
        <is>
          <t>BSBA (Business Administration)</t>
        </is>
      </c>
      <c r="E13" s="2" t="inlineStr">
        <is>
          <t>FT</t>
        </is>
      </c>
      <c r="F13" s="2" t="n">
        <v>12</v>
      </c>
      <c r="G13" s="2" t="n">
        <v>2</v>
      </c>
      <c r="H13" s="3" t="inlineStr">
        <is>
          <t>Curriculum &amp; Syllabi — BSBA</t>
        </is>
      </c>
      <c r="I13" s="3" t="inlineStr">
        <is>
          <t>PROGRAM CHAIR (BSBA) and LEAD of the Business Cluster Pool — owns items 27 to 32, 75 and 80. As pool lead: fix the definitive shared-course list (confirm the 13 candidate courses against the BSBA and BSHM prospectuses), publish the writer allocation, issue the common template carrying the assessment scheme and the 14-week / 56-hour basis, set internal hand-in dates ahead of 9 Oct and 16 Oct, hand one finished set to the Chairs of BSA, BSAIS and BSHM, and report slippage to the Vice Dean. Publish the item 80 BSBA specialised allocation at the same time so each writer's total is visible. Records obligation on top, compulsory for all faculty: certified true copy of Transcript of Records and signed contract to HR by 30 Oct 2026 (items 12–13).</t>
        </is>
      </c>
      <c r="J13" s="21" t="inlineStr">
        <is>
          <t>#31–32</t>
        </is>
      </c>
      <c r="K13" s="3" t="inlineStr">
        <is>
          <t>Listed in the leadership block of the Assignment Matrix as Program Chair Ranilo S. Castillo II.</t>
        </is>
      </c>
    </row>
    <row r="14" ht="23.75" customHeight="1" s="31">
      <c r="A14" s="2" t="n">
        <v>10</v>
      </c>
      <c r="B14" s="3" t="inlineStr">
        <is>
          <t>Dela Cruz, Jacqueline</t>
        </is>
      </c>
      <c r="C14" s="21" t="n"/>
      <c r="D14" s="3" t="inlineStr">
        <is>
          <t>BSBA (Business Administration)</t>
        </is>
      </c>
      <c r="E14" s="2" t="inlineStr">
        <is>
          <t>FT</t>
        </is>
      </c>
      <c r="F14" s="2" t="n">
        <v>24</v>
      </c>
      <c r="G14" s="2" t="n">
        <v>5</v>
      </c>
      <c r="H14" s="3" t="inlineStr">
        <is>
          <t>Curriculum &amp; Syllabi — BSBA; Business Cluster Pool (BSA/BSAIS/BSBA/BSHM); Library Collection</t>
        </is>
      </c>
      <c r="I14" s="3" t="inlineStr">
        <is>
          <t>BUSINESS CLUSTER POOL (tracker item 75) — write the COURSE DESCRIPTION and the OBE SYLLABUS for 3 allocated courses, one set serving BSA, BSAIS, BSBA and BSHM: AE19-FINMGT Financial Management; AE18-FINMKT Financial Markets; AE10-GOV Governance, Business Ethics, Risk Management and Internal Control. 6 documents in total. Common syllabus template: 14-week trimester, 56 hours per 3-unit course, two examinations (midterm and final) plus one required monthly assessment and regular quizzes. Hand in to Chair Ranilo S. Castillo II: descriptions 9 Oct 2026, syllabi 16 Oct 2026. CANDIDATE LIST — these 13 shared courses were read off the BSA and BSAIS prospectus; Chair Ranilo S. Castillo II confirms them against the BSBA and BSHM prospectuses under item 75 before writing starts. Also carries a share of the BSBA programme-specialised courses under item 80. Held to three courses because she also sits on the Library Collection Committee (items 66 and 67). Records obligation on top, compulsory for all faculty: certified true copy of Transcript of Records and signed contract to HR by 30 Oct 2026 (items 12–13).</t>
        </is>
      </c>
      <c r="J14" s="21" t="inlineStr">
        <is>
          <t>#19–20, 25–26, 31–32, 43–44, 66–67</t>
        </is>
      </c>
      <c r="K14" s="3" t="n"/>
    </row>
    <row r="15" ht="23.75" customHeight="1" s="31">
      <c r="A15" s="2" t="n">
        <v>11</v>
      </c>
      <c r="B15" s="3" t="inlineStr">
        <is>
          <t>Salas, Kristine Joy</t>
        </is>
      </c>
      <c r="C15" s="21" t="n"/>
      <c r="D15" s="3" t="inlineStr">
        <is>
          <t>BSBA (Business Administration)</t>
        </is>
      </c>
      <c r="E15" s="2" t="inlineStr">
        <is>
          <t>FT</t>
        </is>
      </c>
      <c r="F15" s="2" t="n">
        <v>24</v>
      </c>
      <c r="G15" s="2" t="n">
        <v>6</v>
      </c>
      <c r="H15" s="3" t="inlineStr">
        <is>
          <t>Curriculum &amp; Syllabi — BSBA; Business Cluster Pool (BSA/BSAIS/BSBA/BSHM)</t>
        </is>
      </c>
      <c r="I15" s="3" t="inlineStr">
        <is>
          <t>BUSINESS CLUSTER POOL (tracker item 75) — write the COURSE DESCRIPTION and the OBE SYLLABUS for 3 allocated courses, one set serving BSA, BSAIS, BSBA and BSHM: AE1-BL1 Law on Obligations and Contracts; AE2-BL2 Business Laws and Regulations; AE3-BL3 Regulatory Framework and Legal Issues in Business. 6 documents in total. Common syllabus template: 14-week trimester, 56 hours per 3-unit course, two examinations (midterm and final) plus one required monthly assessment and regular quizzes. Hand in to Chair Ranilo S. Castillo II: descriptions 9 Oct 2026, syllabi 16 Oct 2026. CANDIDATE LIST — these 13 shared courses were read off the BSA and BSAIS prospectus; Chair Ranilo S. Castillo II confirms them against the BSBA and BSHM prospectuses under item 75 before writing starts. Also carries a share of the BSBA programme-specialised courses under item 80. Records obligation on top, compulsory for all faculty: certified true copy of Transcript of Records and signed contract to HR by 30 Oct 2026 (items 12–13).</t>
        </is>
      </c>
      <c r="J15" s="21" t="inlineStr">
        <is>
          <t>#19–20, 25–26, 31–32, 43–44</t>
        </is>
      </c>
      <c r="K15" s="3" t="n"/>
    </row>
    <row r="16" ht="35" customHeight="1" s="31">
      <c r="A16" s="22" t="n">
        <v>12</v>
      </c>
      <c r="B16" s="12" t="inlineStr">
        <is>
          <t>Patiag, Glaiza Kaye</t>
        </is>
      </c>
      <c r="C16" s="23" t="inlineStr">
        <is>
          <t>JD</t>
        </is>
      </c>
      <c r="D16" s="12" t="inlineStr">
        <is>
          <t>BSBA (Business Administration) &amp; BS Hospitality Management</t>
        </is>
      </c>
      <c r="E16" s="22" t="inlineStr">
        <is>
          <t>PT</t>
        </is>
      </c>
      <c r="F16" s="22" t="n">
        <v>9</v>
      </c>
      <c r="G16" s="22" t="n">
        <v>2</v>
      </c>
      <c r="H16" s="12" t="inlineStr">
        <is>
          <t>Not tasked — part-time</t>
        </is>
      </c>
      <c r="I16" s="3" t="inlineStr">
        <is>
          <t>Not tasked with project work (part-time). Records obligation only, and it is compulsory: submit your certified true copy of Transcript of Records and your signed appointment / contract / letter of commitment to HR Officer Dela Cruz by 30 Oct 2026 — checklist items 5.2 and 5.3, tracker items 12 and 13.</t>
        </is>
      </c>
      <c r="J16" s="23" t="inlineStr">
        <is>
          <t>—</t>
        </is>
      </c>
      <c r="K16" s="12" t="inlineStr">
        <is>
          <t>Teaches in two departments; counted once. Part-time — not tasked.</t>
        </is>
      </c>
    </row>
    <row r="17" ht="23.75" customHeight="1" s="31">
      <c r="A17" s="2" t="n">
        <v>13</v>
      </c>
      <c r="B17" s="3" t="inlineStr">
        <is>
          <t>Arimbuyutan, Jazzele M.</t>
        </is>
      </c>
      <c r="C17" s="21" t="n"/>
      <c r="D17" s="3" t="inlineStr">
        <is>
          <t>BS Criminology</t>
        </is>
      </c>
      <c r="E17" s="2" t="inlineStr">
        <is>
          <t>FT</t>
        </is>
      </c>
      <c r="F17" s="2" t="n">
        <v>21</v>
      </c>
      <c r="G17" s="2" t="n">
        <v>4</v>
      </c>
      <c r="H17" s="3" t="inlineStr">
        <is>
          <t>Curriculum &amp; Syllabi — BSCRIM; Feasibility &amp; Market Study</t>
        </is>
      </c>
      <c r="I17" s="3" t="inlineStr">
        <is>
          <t>PROGRAMME-SPECIALISED COURSES — BSCRIM. Write the COURSE DESCRIPTION and the OBE SYLLABUS for the BSCRIM major courses allocated to you by Chair Pisto. The allocation naming your specific courses is tracked as item 76, due 25 Sep 2026. Common syllabus template: 14-week trimester, 56 hours per 3-unit course, two examinations (midterm and final) plus one required monthly assessment and regular quizzes. Hand in to your Chair: descriptions 9 Oct 2026, syllabi 16 Oct 2026. Feeds tracker items 49 and 50. Also sits on the Feasibility &amp; Market Study Committee (items 4 to 6). Records obligation on top, compulsory for all faculty: certified true copy of Transcript of Records and signed contract to HR by 30 Oct 2026 (items 12–13).</t>
        </is>
      </c>
      <c r="J17" s="21" t="inlineStr">
        <is>
          <t>#4–6, 49–50</t>
        </is>
      </c>
      <c r="K17" s="3" t="n"/>
    </row>
    <row r="18" ht="15" customHeight="1" s="31">
      <c r="A18" s="2" t="n">
        <v>14</v>
      </c>
      <c r="B18" s="3" t="inlineStr">
        <is>
          <t>Dela Cruz, Jhon Allen R.</t>
        </is>
      </c>
      <c r="C18" s="21" t="n"/>
      <c r="D18" s="3" t="inlineStr">
        <is>
          <t>BS Criminology</t>
        </is>
      </c>
      <c r="E18" s="2" t="inlineStr">
        <is>
          <t>FT</t>
        </is>
      </c>
      <c r="F18" s="2" t="n">
        <v>22</v>
      </c>
      <c r="G18" s="2" t="n">
        <v>5</v>
      </c>
      <c r="H18" s="3" t="inlineStr">
        <is>
          <t>Curriculum &amp; Syllabi — BSCRIM</t>
        </is>
      </c>
      <c r="I18" s="3" t="inlineStr">
        <is>
          <t>PROGRAMME-SPECIALISED COURSES — BSCRIM. Write the COURSE DESCRIPTION and the OBE SYLLABUS for the BSCRIM major courses allocated to you by Chair Pisto. The allocation naming your specific courses is tracked as item 76, due 25 Sep 2026. Common syllabus template: 14-week trimester, 56 hours per 3-unit course, two examinations (midterm and final) plus one required monthly assessment and regular quizzes. Hand in to your Chair: descriptions 9 Oct 2026, syllabi 16 Oct 2026. Feeds tracker items 49 and 50. Records obligation on top, compulsory for all faculty: certified true copy of Transcript of Records and signed contract to HR by 30 Oct 2026 (items 12–13).</t>
        </is>
      </c>
      <c r="J18" s="21" t="inlineStr">
        <is>
          <t>#49–50</t>
        </is>
      </c>
      <c r="K18" s="3" t="n"/>
    </row>
    <row r="19" ht="15" customHeight="1" s="31">
      <c r="A19" s="2" t="n">
        <v>15</v>
      </c>
      <c r="B19" s="3" t="inlineStr">
        <is>
          <t>Diaz, Pamela B.</t>
        </is>
      </c>
      <c r="C19" s="21" t="n"/>
      <c r="D19" s="3" t="inlineStr">
        <is>
          <t>BS Criminology</t>
        </is>
      </c>
      <c r="E19" s="2" t="inlineStr">
        <is>
          <t>FT</t>
        </is>
      </c>
      <c r="F19" s="2" t="n">
        <v>22</v>
      </c>
      <c r="G19" s="2" t="n">
        <v>5</v>
      </c>
      <c r="H19" s="3" t="inlineStr">
        <is>
          <t>Curriculum &amp; Syllabi — BSCRIM</t>
        </is>
      </c>
      <c r="I19" s="3" t="inlineStr">
        <is>
          <t>PROGRAMME-SPECIALISED COURSES — BSCRIM. Write the COURSE DESCRIPTION and the OBE SYLLABUS for the BSCRIM major courses allocated to you by Chair Pisto. The allocation naming your specific courses is tracked as item 76, due 25 Sep 2026. Common syllabus template: 14-week trimester, 56 hours per 3-unit course, two examinations (midterm and final) plus one required monthly assessment and regular quizzes. Hand in to your Chair: descriptions 9 Oct 2026, syllabi 16 Oct 2026. Feeds tracker items 49 and 50. Records obligation on top, compulsory for all faculty: certified true copy of Transcript of Records and signed contract to HR by 30 Oct 2026 (items 12–13).</t>
        </is>
      </c>
      <c r="J19" s="21" t="inlineStr">
        <is>
          <t>#49–50</t>
        </is>
      </c>
      <c r="K19" s="3" t="n"/>
    </row>
    <row r="20" ht="15" customHeight="1" s="31">
      <c r="A20" s="2" t="n">
        <v>16</v>
      </c>
      <c r="B20" s="3" t="inlineStr">
        <is>
          <t>Pamiloza, Honey Mica R.</t>
        </is>
      </c>
      <c r="C20" s="21" t="n"/>
      <c r="D20" s="3" t="inlineStr">
        <is>
          <t>BS Criminology</t>
        </is>
      </c>
      <c r="E20" s="2" t="inlineStr">
        <is>
          <t>FT</t>
        </is>
      </c>
      <c r="F20" s="2" t="n">
        <v>21</v>
      </c>
      <c r="G20" s="2" t="n">
        <v>4</v>
      </c>
      <c r="H20" s="3" t="inlineStr">
        <is>
          <t>Curriculum &amp; Syllabi — BSCRIM</t>
        </is>
      </c>
      <c r="I20" s="3" t="inlineStr">
        <is>
          <t>PROGRAMME-SPECIALISED COURSES — BSCRIM. Write the COURSE DESCRIPTION and the OBE SYLLABUS for the BSCRIM major courses allocated to you by Chair Pisto. The allocation naming your specific courses is tracked as item 76, due 25 Sep 2026. Common syllabus template: 14-week trimester, 56 hours per 3-unit course, two examinations (midterm and final) plus one required monthly assessment and regular quizzes. Hand in to your Chair: descriptions 9 Oct 2026, syllabi 16 Oct 2026. Feeds tracker items 49 and 50. Records obligation on top, compulsory for all faculty: certified true copy of Transcript of Records and signed contract to HR by 30 Oct 2026 (items 12–13).</t>
        </is>
      </c>
      <c r="J20" s="21" t="inlineStr">
        <is>
          <t>#49–50</t>
        </is>
      </c>
      <c r="K20" s="3" t="n"/>
    </row>
    <row r="21" ht="35" customHeight="1" s="31">
      <c r="A21" s="2" t="n">
        <v>17</v>
      </c>
      <c r="B21" s="3" t="inlineStr">
        <is>
          <t>Pisto, Samantha Rose C.</t>
        </is>
      </c>
      <c r="C21" s="21" t="n"/>
      <c r="D21" s="3" t="inlineStr">
        <is>
          <t>BS Criminology</t>
        </is>
      </c>
      <c r="E21" s="2" t="inlineStr">
        <is>
          <t>FT</t>
        </is>
      </c>
      <c r="F21" s="2" t="n">
        <v>6</v>
      </c>
      <c r="G21" s="2" t="n">
        <v>2</v>
      </c>
      <c r="H21" s="3" t="inlineStr">
        <is>
          <t>Curriculum &amp; Syllabi — BSCRIM</t>
        </is>
      </c>
      <c r="I21" s="3" t="inlineStr">
        <is>
          <t>PROGRAM CHAIR (BSCRIM) — owns items 45 to 50 and 76. Publish the BSCRIM writer allocation by 25 Sep 2026 naming which of your five full-time faculty writes which major course, then collect descriptions 9 Oct and syllabi 16 Oct. Outstanding defect on item 45: the two 25-unit trimesters put students at 8.33 contact hours a day and need re-sequencing. Records obligation on top, compulsory for all faculty: certified true copy of Transcript of Records and signed contract to HR by 30 Oct 2026 (items 12–13).</t>
        </is>
      </c>
      <c r="J21" s="21" t="inlineStr">
        <is>
          <t>#49–50</t>
        </is>
      </c>
      <c r="K21" s="3" t="inlineStr">
        <is>
          <t>Listed in the leadership block of the Assignment Matrix as Program Chair Samantha Rose C. Pisto.</t>
        </is>
      </c>
    </row>
    <row r="22" ht="15" customHeight="1" s="31">
      <c r="A22" s="2" t="n">
        <v>18</v>
      </c>
      <c r="B22" s="3" t="inlineStr">
        <is>
          <t>Ramos, Leandro M.</t>
        </is>
      </c>
      <c r="C22" s="21" t="n"/>
      <c r="D22" s="3" t="inlineStr">
        <is>
          <t>BS Criminology</t>
        </is>
      </c>
      <c r="E22" s="2" t="inlineStr">
        <is>
          <t>FT</t>
        </is>
      </c>
      <c r="F22" s="2" t="n">
        <v>18</v>
      </c>
      <c r="G22" s="2" t="n">
        <v>4</v>
      </c>
      <c r="H22" s="3" t="inlineStr">
        <is>
          <t>Curriculum &amp; Syllabi — BSCRIM; Library Collection</t>
        </is>
      </c>
      <c r="I22" s="3" t="inlineStr">
        <is>
          <t>PROGRAMME-SPECIALISED COURSES — BSCRIM. Write the COURSE DESCRIPTION and the OBE SYLLABUS for the BSCRIM major courses allocated to you by Chair Pisto. The allocation naming your specific courses is tracked as item 76, due 25 Sep 2026. Common syllabus template: 14-week trimester, 56 hours per 3-unit course, two examinations (midterm and final) plus one required monthly assessment and regular quizzes. Hand in to your Chair: descriptions 9 Oct 2026, syllabi 16 Oct 2026. Feeds tracker items 49 and 50. Also on the Library Collection Committee — supply BSCRIM subject title lists and accession data for items 66 and 67. Records obligation on top, compulsory for all faculty: certified true copy of Transcript of Records and signed contract to HR by 30 Oct 2026 (items 12–13).  PROPOSED FIRST YEAR TRIMESTER LOADING — teaches NSTP 1 (T1) and NSTP 2 (T2), Civic Welfare Training Service. Writes the course description and the outcomes-based syllabus for each of those courses, for review by the Program Chair.</t>
        </is>
      </c>
      <c r="J22" s="21" t="inlineStr">
        <is>
          <t>#49–50, 66–67, #19–20, 25–26</t>
        </is>
      </c>
      <c r="K22" s="3" t="n"/>
    </row>
    <row r="23" ht="15" customHeight="1" s="31">
      <c r="A23" s="22" t="n">
        <v>19</v>
      </c>
      <c r="B23" s="12" t="inlineStr">
        <is>
          <t>Timpac, Theodore M.</t>
        </is>
      </c>
      <c r="C23" s="23" t="inlineStr">
        <is>
          <t>Atty.</t>
        </is>
      </c>
      <c r="D23" s="12" t="inlineStr">
        <is>
          <t>BS Criminology</t>
        </is>
      </c>
      <c r="E23" s="22" t="inlineStr">
        <is>
          <t>PT</t>
        </is>
      </c>
      <c r="F23" s="22" t="n">
        <v>12</v>
      </c>
      <c r="G23" s="22" t="n">
        <v>2</v>
      </c>
      <c r="H23" s="12" t="inlineStr">
        <is>
          <t>Not tasked — part-time</t>
        </is>
      </c>
      <c r="I23" s="3" t="inlineStr">
        <is>
          <t>Not tasked with project work (part-time). Records obligation only, and it is compulsory: submit your certified true copy of Transcript of Records and your signed appointment / contract / letter of commitment to HR Officer Dela Cruz by 30 Oct 2026 — checklist items 5.2 and 5.3, tracker items 12 and 13.</t>
        </is>
      </c>
      <c r="J23" s="23" t="inlineStr">
        <is>
          <t>—</t>
        </is>
      </c>
      <c r="K23" s="12" t="inlineStr">
        <is>
          <t>Part-time — not tasked.</t>
        </is>
      </c>
    </row>
    <row r="24" ht="46.25" customHeight="1" s="31">
      <c r="A24" s="24" t="n">
        <v>20</v>
      </c>
      <c r="B24" s="10" t="inlineStr">
        <is>
          <t>Cristobal, Teofilo G.</t>
        </is>
      </c>
      <c r="C24" s="25" t="n"/>
      <c r="D24" s="10" t="inlineStr">
        <is>
          <t>BS Computer Science</t>
        </is>
      </c>
      <c r="E24" s="24" t="inlineStr">
        <is>
          <t>FT</t>
        </is>
      </c>
      <c r="F24" s="24" t="n">
        <v>24</v>
      </c>
      <c r="G24" s="24" t="n">
        <v>3</v>
      </c>
      <c r="H24" s="10" t="inlineStr">
        <is>
          <t>Curriculum &amp; Syllabi — BSCS</t>
        </is>
      </c>
      <c r="I24" s="3" t="inlineStr">
        <is>
          <t>PROGRAMME-SPECIALISED COURSES — BSCS. Write the COURSE DESCRIPTION and the OBE SYLLABUS for the BSCS major courses allocated to you by Chair Diamat. The allocation naming your specific courses is tracked as item 78, due 25 Sep 2026. Common syllabus template: 14-week trimester, 56 hours per 3-unit course, two examinations (midterm and final) plus one required monthly assessment and regular quizzes. Hand in to your Chair: descriptions 9 Oct 2026, syllabi 16 Oct 2026. Feeds tracker items 37 and 38. CAPACITY: you are the only full-time BSCS faculty besides the Chair, so item 78 must state which courses fall to the Chair himself. Also confirm your department is corrected to BS Computer Science on the roster main sheet before filing. Records obligation on top, compulsory for all faculty: certified true copy of Transcript of Records and signed contract to HR by 30 Oct 2026 (items 12–13).</t>
        </is>
      </c>
      <c r="J24" s="25" t="inlineStr">
        <is>
          <t>#37–38</t>
        </is>
      </c>
      <c r="K24" s="10" t="inlineStr">
        <is>
          <t>Confirmed by the Vice Dean as full-time in BSCS, not Teacher Education. The roster main sheet lists him under Teacher Education — correct that before the dossier is filed.</t>
        </is>
      </c>
    </row>
    <row r="25" ht="23.75" customHeight="1" s="31">
      <c r="A25" s="2" t="n">
        <v>21</v>
      </c>
      <c r="B25" s="3" t="inlineStr">
        <is>
          <t>Diamat, John Philip N.</t>
        </is>
      </c>
      <c r="C25" s="21" t="n"/>
      <c r="D25" s="3" t="inlineStr">
        <is>
          <t>BS Computer Science</t>
        </is>
      </c>
      <c r="E25" s="2" t="inlineStr">
        <is>
          <t>FT</t>
        </is>
      </c>
      <c r="F25" s="2" t="n">
        <v>9</v>
      </c>
      <c r="G25" s="2" t="n">
        <v>3</v>
      </c>
      <c r="H25" s="3" t="inlineStr">
        <is>
          <t>Curriculum &amp; Syllabi — BSCS</t>
        </is>
      </c>
      <c r="I25" s="3" t="inlineStr">
        <is>
          <t>PROGRAM CHAIR (BSCS) — owns items 33 to 38 and 78. Publish the BSCS writer allocation by 25 Sep 2026. With only one full-time writer besides yourself, that allocation must say plainly which courses you take and where outside help is needed — the same shape of problem as Open Item 9. Records obligation on top, compulsory for all faculty: certified true copy of Transcript of Records and signed contract to HR by 30 Oct 2026 (items 12–13).</t>
        </is>
      </c>
      <c r="J25" s="21" t="inlineStr">
        <is>
          <t>#37–38</t>
        </is>
      </c>
      <c r="K25" s="3" t="inlineStr">
        <is>
          <t>Listed in the leadership block of the Assignment Matrix as Program Chair John Philip N. Diamat.</t>
        </is>
      </c>
    </row>
    <row r="26" ht="15" customHeight="1" s="31">
      <c r="A26" s="22" t="n">
        <v>22</v>
      </c>
      <c r="B26" s="12" t="inlineStr">
        <is>
          <t>Corpuz, Alpha Jessa</t>
        </is>
      </c>
      <c r="C26" s="23" t="n"/>
      <c r="D26" s="12" t="inlineStr">
        <is>
          <t>BS Computer Science</t>
        </is>
      </c>
      <c r="E26" s="22" t="inlineStr">
        <is>
          <t>PT</t>
        </is>
      </c>
      <c r="F26" s="22" t="n">
        <v>3</v>
      </c>
      <c r="G26" s="22" t="n">
        <v>1</v>
      </c>
      <c r="H26" s="12" t="inlineStr">
        <is>
          <t>Not tasked — part-time</t>
        </is>
      </c>
      <c r="I26" s="3" t="inlineStr">
        <is>
          <t>Not tasked with project work (part-time). Records obligation only, and it is compulsory: submit your certified true copy of Transcript of Records and your signed appointment / contract / letter of commitment to HR Officer Dela Cruz by 30 Oct 2026 — checklist items 5.2 and 5.3, tracker items 12 and 13.</t>
        </is>
      </c>
      <c r="J26" s="23" t="inlineStr">
        <is>
          <t>—</t>
        </is>
      </c>
      <c r="K26" s="12" t="inlineStr">
        <is>
          <t>Part-time — not tasked.</t>
        </is>
      </c>
    </row>
    <row r="27" ht="15" customHeight="1" s="31">
      <c r="A27" s="22" t="n">
        <v>23</v>
      </c>
      <c r="B27" s="12" t="inlineStr">
        <is>
          <t>Fernando, Eddyson S.</t>
        </is>
      </c>
      <c r="C27" s="23" t="n"/>
      <c r="D27" s="12" t="inlineStr">
        <is>
          <t>BS Computer Science</t>
        </is>
      </c>
      <c r="E27" s="22" t="inlineStr">
        <is>
          <t>PT</t>
        </is>
      </c>
      <c r="F27" s="22" t="n">
        <v>9</v>
      </c>
      <c r="G27" s="22" t="n">
        <v>3</v>
      </c>
      <c r="H27" s="12" t="inlineStr">
        <is>
          <t>Not tasked — part-time</t>
        </is>
      </c>
      <c r="I27" s="3" t="inlineStr">
        <is>
          <t>Not tasked with project work (part-time). Records obligation only, and it is compulsory: submit your certified true copy of Transcript of Records and your signed appointment / contract / letter of commitment to HR Officer Dela Cruz by 30 Oct 2026 — checklist items 5.2 and 5.3, tracker items 12 and 13.</t>
        </is>
      </c>
      <c r="J27" s="23" t="inlineStr">
        <is>
          <t>—</t>
        </is>
      </c>
      <c r="K27" s="12" t="inlineStr">
        <is>
          <t>Part-time — not tasked.</t>
        </is>
      </c>
    </row>
    <row r="28" ht="35" customHeight="1" s="31">
      <c r="A28" s="22" t="n">
        <v>24</v>
      </c>
      <c r="B28" s="12" t="inlineStr">
        <is>
          <t>Francisco, Jayson R.</t>
        </is>
      </c>
      <c r="C28" s="23" t="n"/>
      <c r="D28" s="12" t="inlineStr">
        <is>
          <t>BS Computer Science</t>
        </is>
      </c>
      <c r="E28" s="22" t="inlineStr">
        <is>
          <t>PT</t>
        </is>
      </c>
      <c r="F28" s="22" t="n">
        <v>3</v>
      </c>
      <c r="G28" s="22" t="n">
        <v>1</v>
      </c>
      <c r="H28" s="12" t="inlineStr">
        <is>
          <t>Not tasked — part-time</t>
        </is>
      </c>
      <c r="I28" s="3" t="inlineStr">
        <is>
          <t>MIS HEAD and TASK FORCE CO-LEAD — owns items 1, 4, 5, 6, 70 and 73. Item 73 is the single written request to CHED Region III covering Open Items 2 to 5, due 25 Sep 2026; Open Item 5 (are syllabi needed for every course or only new and re-sequenced ones) governs the whole 16 Oct syllabus deadline. Not allocated course-writing — part-time teaching load. Submit your certified true copy of transcript of records and your signed appointment / contract / letter of commitment to hr officer dela cruz by 30 oct 2026 — checklist items 5.2 and 5.3, tracker items 12 and 13.</t>
        </is>
      </c>
      <c r="J28" s="23" t="inlineStr">
        <is>
          <t>—</t>
        </is>
      </c>
      <c r="K28" s="12" t="inlineStr">
        <is>
          <t>Listed in the leadership block of the Assignment Matrix as MIS Head Jayson R. Francisco. Part-time — not tasked.</t>
        </is>
      </c>
    </row>
    <row r="29" ht="15" customHeight="1" s="31">
      <c r="A29" s="22" t="n">
        <v>25</v>
      </c>
      <c r="B29" s="12" t="inlineStr">
        <is>
          <t>Garcia, Michael Johnrein</t>
        </is>
      </c>
      <c r="C29" s="23" t="n"/>
      <c r="D29" s="12" t="inlineStr">
        <is>
          <t>BS Computer Science</t>
        </is>
      </c>
      <c r="E29" s="22" t="inlineStr">
        <is>
          <t>PT</t>
        </is>
      </c>
      <c r="F29" s="22" t="n">
        <v>9</v>
      </c>
      <c r="G29" s="22" t="n">
        <v>3</v>
      </c>
      <c r="H29" s="12" t="inlineStr">
        <is>
          <t>Not tasked — part-time</t>
        </is>
      </c>
      <c r="I29" s="3" t="inlineStr">
        <is>
          <t>Not tasked with project work (part-time). Records obligation only, and it is compulsory: submit your certified true copy of Transcript of Records and your signed appointment / contract / letter of commitment to HR Officer Dela Cruz by 30 Oct 2026 — checklist items 5.2 and 5.3, tracker items 12 and 13.</t>
        </is>
      </c>
      <c r="J29" s="23" t="inlineStr">
        <is>
          <t>—</t>
        </is>
      </c>
      <c r="K29" s="12" t="inlineStr">
        <is>
          <t>Part-time — not tasked.</t>
        </is>
      </c>
    </row>
    <row r="30" ht="15" customHeight="1" s="31">
      <c r="A30" s="22" t="n">
        <v>26</v>
      </c>
      <c r="B30" s="12" t="inlineStr">
        <is>
          <t>Peralta, Ronel Evan P.</t>
        </is>
      </c>
      <c r="C30" s="23" t="n"/>
      <c r="D30" s="12" t="inlineStr">
        <is>
          <t>BS Computer Science</t>
        </is>
      </c>
      <c r="E30" s="22" t="inlineStr">
        <is>
          <t>PT</t>
        </is>
      </c>
      <c r="F30" s="22" t="n">
        <v>9</v>
      </c>
      <c r="G30" s="22" t="n">
        <v>3</v>
      </c>
      <c r="H30" s="12" t="inlineStr">
        <is>
          <t>Not tasked — part-time</t>
        </is>
      </c>
      <c r="I30" s="3" t="inlineStr">
        <is>
          <t>Not tasked with project work (part-time). Records obligation only, and it is compulsory: submit your certified true copy of Transcript of Records and your signed appointment / contract / letter of commitment to HR Officer Dela Cruz by 30 Oct 2026 — checklist items 5.2 and 5.3, tracker items 12 and 13.</t>
        </is>
      </c>
      <c r="J30" s="23" t="inlineStr">
        <is>
          <t>—</t>
        </is>
      </c>
      <c r="K30" s="12" t="inlineStr">
        <is>
          <t>Part-time — not tasked.</t>
        </is>
      </c>
    </row>
    <row r="31" ht="35" customHeight="1" s="31">
      <c r="A31" s="2" t="n">
        <v>27</v>
      </c>
      <c r="B31" s="3" t="inlineStr">
        <is>
          <t>Bernardo, Romeo DG</t>
        </is>
      </c>
      <c r="C31" s="21" t="n"/>
      <c r="D31" s="3" t="inlineStr">
        <is>
          <t>BS Hospitality Management</t>
        </is>
      </c>
      <c r="E31" s="2" t="inlineStr">
        <is>
          <t>FT</t>
        </is>
      </c>
      <c r="F31" s="2" t="n">
        <v>21</v>
      </c>
      <c r="G31" s="2" t="n">
        <v>4</v>
      </c>
      <c r="H31" s="3" t="inlineStr">
        <is>
          <t>Curriculum &amp; Syllabi — BSHM; Library Collection</t>
        </is>
      </c>
      <c r="I31" s="3" t="inlineStr">
        <is>
          <t>PROGRAMME-SPECIALISED COURSES — BSHM. Write the COURSE DESCRIPTION and the OBE SYLLABUS for the BSHM major courses allocated to you by Chair Ciasico. The allocation naming your specific courses is tracked as item 77, due 25 Sep 2026. Common syllabus template: 14-week trimester, 56 hours per 3-unit course, two examinations (midterm and final) plus one required monthly assessment and regular quizzes. Hand in to your Chair: descriptions 9 Oct 2026, syllabi 16 Oct 2026. Feeds tracker items 43 and 44. Also a named member of the library team — owns the working papers behind items 66 to 69 with Sta. Cruz, on top of a 21-unit teaching load. Weight your course share accordingly with the Chair. Records obligation on top, compulsory for all faculty: certified true copy of Transcript of Records and signed contract to HR by 30 Oct 2026 (items 12–13).</t>
        </is>
      </c>
      <c r="J31" s="21" t="inlineStr">
        <is>
          <t>#43–44, 66–69</t>
        </is>
      </c>
      <c r="K31" s="3" t="inlineStr">
        <is>
          <t>Also a member of the library team named in the project plan — library duty on top of a full teaching load.</t>
        </is>
      </c>
    </row>
    <row r="32" ht="23.75" customHeight="1" s="31">
      <c r="A32" s="2" t="n">
        <v>28</v>
      </c>
      <c r="B32" s="3" t="inlineStr">
        <is>
          <t>Ciasico, Stephanie S.</t>
        </is>
      </c>
      <c r="C32" s="21" t="n"/>
      <c r="D32" s="3" t="inlineStr">
        <is>
          <t>BS Hospitality Management</t>
        </is>
      </c>
      <c r="E32" s="2" t="inlineStr">
        <is>
          <t>FT</t>
        </is>
      </c>
      <c r="F32" s="2" t="n">
        <v>9</v>
      </c>
      <c r="G32" s="2" t="n">
        <v>2</v>
      </c>
      <c r="H32" s="3" t="inlineStr">
        <is>
          <t>Curriculum &amp; Syllabi — BSHM</t>
        </is>
      </c>
      <c r="I32" s="3" t="inlineStr">
        <is>
          <t>PROGRAM CHAIR (BSHM) — owns items 39 to 44 and 77. Publish the BSHM writer allocation by 25 Sep 2026. Only hospitality-specialised courses need allocating: the shared business courses come from the Business Cluster Pool under item 75. Bernardo carries library items 66 to 69 as well — weight his share. Records obligation on top, compulsory for all faculty: certified true copy of Transcript of Records and signed contract to HR by 30 Oct 2026 (items 12–13).</t>
        </is>
      </c>
      <c r="J32" s="21" t="inlineStr">
        <is>
          <t>#43–44</t>
        </is>
      </c>
      <c r="K32" s="3" t="inlineStr">
        <is>
          <t>Listed in the leadership block of the Assignment Matrix as Program Chair Stephanie S. Ciasico.</t>
        </is>
      </c>
    </row>
    <row r="33" ht="23.75" customHeight="1" s="31">
      <c r="A33" s="2" t="n">
        <v>29</v>
      </c>
      <c r="B33" s="3" t="inlineStr">
        <is>
          <t>Dela Cruz, Jonathan</t>
        </is>
      </c>
      <c r="C33" s="21" t="n"/>
      <c r="D33" s="3" t="inlineStr">
        <is>
          <t>BS Hospitality Management</t>
        </is>
      </c>
      <c r="E33" s="2" t="inlineStr">
        <is>
          <t>FT</t>
        </is>
      </c>
      <c r="F33" s="2" t="n">
        <v>18</v>
      </c>
      <c r="G33" s="2" t="n">
        <v>4</v>
      </c>
      <c r="H33" s="3" t="inlineStr">
        <is>
          <t>Curriculum &amp; Syllabi — BSHM; Feasibility &amp; Market Study</t>
        </is>
      </c>
      <c r="I33" s="3" t="inlineStr">
        <is>
          <t>PROGRAMME-SPECIALISED COURSES — BSHM. Write the COURSE DESCRIPTION and the OBE SYLLABUS for the BSHM major courses allocated to you by Chair Ciasico. The allocation naming your specific courses is tracked as item 77, due 25 Sep 2026. Common syllabus template: 14-week trimester, 56 hours per 3-unit course, two examinations (midterm and final) plus one required monthly assessment and regular quizzes. Hand in to your Chair: descriptions 9 Oct 2026, syllabi 16 Oct 2026. Feeds tracker items 43 and 44. Also sits on the Feasibility &amp; Market Study Committee (items 4 to 6). Records obligation on top, compulsory for all faculty: certified true copy of Transcript of Records and signed contract to HR by 30 Oct 2026 (items 12–13).</t>
        </is>
      </c>
      <c r="J33" s="21" t="inlineStr">
        <is>
          <t>#4–6, 43–44</t>
        </is>
      </c>
      <c r="K33" s="3" t="n"/>
    </row>
    <row r="34" ht="46.25" customHeight="1" s="31">
      <c r="A34" s="2" t="n">
        <v>30</v>
      </c>
      <c r="B34" s="3" t="inlineStr">
        <is>
          <t>Geronimo, Jing Feng A.</t>
        </is>
      </c>
      <c r="C34" s="21" t="inlineStr">
        <is>
          <t>LPT</t>
        </is>
      </c>
      <c r="D34" s="3" t="inlineStr">
        <is>
          <t>BS Hospitality Management</t>
        </is>
      </c>
      <c r="E34" s="2" t="inlineStr">
        <is>
          <t>FT</t>
        </is>
      </c>
      <c r="F34" s="2" t="n">
        <v>24</v>
      </c>
      <c r="G34" s="2" t="n">
        <v>4</v>
      </c>
      <c r="H34" s="3" t="inlineStr">
        <is>
          <t>Curriculum &amp; Syllabi — BSHM</t>
        </is>
      </c>
      <c r="I34" s="3" t="inlineStr">
        <is>
          <t>PROGRAMME-SPECIALISED COURSES — BSHM. Write the COURSE DESCRIPTION and the OBE SYLLABUS for the BSHM major courses allocated to you by Chair Ciasico. The allocation naming your specific courses is tracked as item 77, due 25 Sep 2026. Common syllabus template: 14-week trimester, 56 hours per 3-unit course, two examinations (midterm and final) plus one required monthly assessment and regular quizzes. Hand in to your Chair: descriptions 9 Oct 2026, syllabi 16 Oct 2026. Feeds tracker items 43 and 44. Carries the courses of Franco, Nadine Denise, who resigned — make sure the roster HR locks on 23 Oct 2026 shows you, not her. Records obligation on top, compulsory for all faculty: certified true copy of Transcript of Records and signed contract to HR by 30 Oct 2026 (items 12–13).</t>
        </is>
      </c>
      <c r="J34" s="21" t="inlineStr">
        <is>
          <t>#43–44</t>
        </is>
      </c>
      <c r="K34" s="3" t="inlineStr">
        <is>
          <t>Replaced Franco, Nadine Denise, who resigned (3 Sep 2026). Continues the same teaching load and courses. Update the roster at source before HR locks the faculty spreadsheet on 23 October.</t>
        </is>
      </c>
    </row>
    <row r="35" ht="15" customHeight="1" s="31">
      <c r="A35" s="22" t="n">
        <v>31</v>
      </c>
      <c r="B35" s="12" t="inlineStr">
        <is>
          <t>Aberin, Gabriel Angelo</t>
        </is>
      </c>
      <c r="C35" s="23" t="n"/>
      <c r="D35" s="12" t="inlineStr">
        <is>
          <t>BS Hospitality Management</t>
        </is>
      </c>
      <c r="E35" s="22" t="inlineStr">
        <is>
          <t>PT</t>
        </is>
      </c>
      <c r="F35" s="22" t="n">
        <v>9</v>
      </c>
      <c r="G35" s="22" t="n">
        <v>2</v>
      </c>
      <c r="H35" s="12" t="inlineStr">
        <is>
          <t>Not tasked — part-time</t>
        </is>
      </c>
      <c r="I35" s="3" t="inlineStr">
        <is>
          <t>Not tasked with project work (part-time). Records obligation only, and it is compulsory: submit your certified true copy of Transcript of Records and your signed appointment / contract / letter of commitment to HR Officer Dela Cruz by 30 Oct 2026 — checklist items 5.2 and 5.3, tracker items 12 and 13.</t>
        </is>
      </c>
      <c r="J35" s="23" t="inlineStr">
        <is>
          <t>—</t>
        </is>
      </c>
      <c r="K35" s="12" t="inlineStr">
        <is>
          <t>Part-time — not tasked.</t>
        </is>
      </c>
    </row>
    <row r="36" ht="15" customHeight="1" s="31">
      <c r="A36" s="22" t="n">
        <v>32</v>
      </c>
      <c r="B36" s="12" t="inlineStr">
        <is>
          <t>Alarcon, Leuz Rafael</t>
        </is>
      </c>
      <c r="C36" s="23" t="n"/>
      <c r="D36" s="12" t="inlineStr">
        <is>
          <t>BS Hospitality Management</t>
        </is>
      </c>
      <c r="E36" s="22" t="inlineStr">
        <is>
          <t>PT</t>
        </is>
      </c>
      <c r="F36" s="22" t="n">
        <v>9</v>
      </c>
      <c r="G36" s="22" t="n">
        <v>2</v>
      </c>
      <c r="H36" s="12" t="inlineStr">
        <is>
          <t>Not tasked — part-time</t>
        </is>
      </c>
      <c r="I36" s="3" t="inlineStr">
        <is>
          <t>Not tasked with project work (part-time). Records obligation only, and it is compulsory: submit your certified true copy of Transcript of Records and your signed appointment / contract / letter of commitment to HR Officer Dela Cruz by 30 Oct 2026 — checklist items 5.2 and 5.3, tracker items 12 and 13.</t>
        </is>
      </c>
      <c r="J36" s="23" t="inlineStr">
        <is>
          <t>—</t>
        </is>
      </c>
      <c r="K36" s="12" t="inlineStr">
        <is>
          <t>Part-time — not tasked.</t>
        </is>
      </c>
    </row>
    <row r="37" ht="15" customHeight="1" s="31">
      <c r="A37" s="22" t="n">
        <v>33</v>
      </c>
      <c r="B37" s="12" t="inlineStr">
        <is>
          <t>Mariano, Jerick</t>
        </is>
      </c>
      <c r="C37" s="23" t="n"/>
      <c r="D37" s="12" t="inlineStr">
        <is>
          <t>BS Hospitality Management</t>
        </is>
      </c>
      <c r="E37" s="22" t="inlineStr">
        <is>
          <t>PT</t>
        </is>
      </c>
      <c r="F37" s="22" t="n">
        <v>9</v>
      </c>
      <c r="G37" s="22" t="n">
        <v>2</v>
      </c>
      <c r="H37" s="12" t="inlineStr">
        <is>
          <t>Not tasked — part-time</t>
        </is>
      </c>
      <c r="I37" s="3" t="inlineStr">
        <is>
          <t>Not tasked with project work (part-time). Records obligation only, and it is compulsory: submit your certified true copy of Transcript of Records and your signed appointment / contract / letter of commitment to HR Officer Dela Cruz by 30 Oct 2026 — checklist items 5.2 and 5.3, tracker items 12 and 13.</t>
        </is>
      </c>
      <c r="J37" s="23" t="inlineStr">
        <is>
          <t>—</t>
        </is>
      </c>
      <c r="K37" s="12" t="inlineStr">
        <is>
          <t>Part-time — not tasked.</t>
        </is>
      </c>
    </row>
    <row r="38" ht="15" customHeight="1" s="31">
      <c r="A38" s="22" t="n">
        <v>34</v>
      </c>
      <c r="B38" s="12" t="inlineStr">
        <is>
          <t>Patiag, Mark</t>
        </is>
      </c>
      <c r="C38" s="23" t="inlineStr">
        <is>
          <t>Atty.</t>
        </is>
      </c>
      <c r="D38" s="12" t="inlineStr">
        <is>
          <t>BS Hospitality Management</t>
        </is>
      </c>
      <c r="E38" s="22" t="inlineStr">
        <is>
          <t>PT</t>
        </is>
      </c>
      <c r="F38" s="22" t="n">
        <v>3</v>
      </c>
      <c r="G38" s="22" t="n">
        <v>1</v>
      </c>
      <c r="H38" s="12" t="inlineStr">
        <is>
          <t>Not tasked — part-time</t>
        </is>
      </c>
      <c r="I38" s="3" t="inlineStr">
        <is>
          <t>Not tasked with project work (part-time). Records obligation only, and it is compulsory: submit your certified true copy of Transcript of Records and your signed appointment / contract / letter of commitment to HR Officer Dela Cruz by 30 Oct 2026 — checklist items 5.2 and 5.3, tracker items 12 and 13.</t>
        </is>
      </c>
      <c r="J38" s="23" t="inlineStr">
        <is>
          <t>—</t>
        </is>
      </c>
      <c r="K38" s="12" t="inlineStr">
        <is>
          <t>Part-time — not tasked.</t>
        </is>
      </c>
    </row>
    <row r="39" ht="15" customHeight="1" s="31">
      <c r="A39" s="22" t="n">
        <v>35</v>
      </c>
      <c r="B39" s="12" t="inlineStr">
        <is>
          <t>Santos, John Vincent L.</t>
        </is>
      </c>
      <c r="C39" s="23" t="inlineStr">
        <is>
          <t>Engr.</t>
        </is>
      </c>
      <c r="D39" s="12" t="inlineStr">
        <is>
          <t>BS Hospitality Management</t>
        </is>
      </c>
      <c r="E39" s="22" t="inlineStr">
        <is>
          <t>PT</t>
        </is>
      </c>
      <c r="F39" s="22" t="n">
        <v>6</v>
      </c>
      <c r="G39" s="22" t="n">
        <v>2</v>
      </c>
      <c r="H39" s="12" t="inlineStr">
        <is>
          <t>Not tasked — part-time</t>
        </is>
      </c>
      <c r="I39" s="3" t="inlineStr">
        <is>
          <t>Not tasked with project work (part-time). Records obligation only, and it is compulsory: submit your certified true copy of Transcript of Records and your signed appointment / contract / letter of commitment to HR Officer Dela Cruz by 30 Oct 2026 — checklist items 5.2 and 5.3, tracker items 12 and 13.</t>
        </is>
      </c>
      <c r="J39" s="23" t="inlineStr">
        <is>
          <t>—</t>
        </is>
      </c>
      <c r="K39" s="12" t="inlineStr">
        <is>
          <t>Part-time — not tasked.</t>
        </is>
      </c>
    </row>
    <row r="40" ht="23.75" customHeight="1" s="31">
      <c r="A40" s="2" t="n">
        <v>36</v>
      </c>
      <c r="B40" s="3" t="inlineStr">
        <is>
          <t>Ablaya, Stephanie</t>
        </is>
      </c>
      <c r="C40" s="21" t="n"/>
      <c r="D40" s="3" t="inlineStr">
        <is>
          <t>Teacher Education (BEED / BSEDE / BSEDM / TEP)</t>
        </is>
      </c>
      <c r="E40" s="2" t="inlineStr">
        <is>
          <t>FT</t>
        </is>
      </c>
      <c r="F40" s="2" t="n">
        <v>27</v>
      </c>
      <c r="G40" s="2" t="n">
        <v>6</v>
      </c>
      <c r="H40" s="3" t="inlineStr">
        <is>
          <t>Curriculum &amp; Syllabi — BEED/BSED; Feasibility &amp; Market Study</t>
        </is>
      </c>
      <c r="I40" s="3" t="inlineStr">
        <is>
          <t>PROGRAMME-SPECIALISED COURSES — BEED and BSED. Write the COURSE DESCRIPTION and the OBE SYLLABUS for the BEED and BSED major courses allocated to you by Chair K. Garcia. The allocation naming your specific courses is tracked as item 79, due 25 Sep 2026. Common syllabus template: 14-week trimester, 56 hours per 3-unit course, two examinations (midterm and final) plus one required monthly assessment and regular quizzes. Hand in to your Chair: descriptions 9 Oct 2026, syllabi 16 Oct 2026. Feeds tracker items 55 and 56 (BEED) and 61 and 62 (BSED). Also sits on the Feasibility &amp; Market Study Committee (items 4 to 6). Records obligation on top, compulsory for all faculty: certified true copy of Transcript of Records and signed contract to HR by 30 Oct 2026 (items 12–13).</t>
        </is>
      </c>
      <c r="J40" s="21" t="inlineStr">
        <is>
          <t>#4–6, 55–56, 61–62</t>
        </is>
      </c>
      <c r="K40" s="3" t="n"/>
    </row>
    <row r="41" ht="23.75" customHeight="1" s="31">
      <c r="A41" s="2" t="n">
        <v>37</v>
      </c>
      <c r="B41" s="3" t="inlineStr">
        <is>
          <t>Aquino, Agnes M.</t>
        </is>
      </c>
      <c r="C41" s="21" t="inlineStr">
        <is>
          <t>Dr.</t>
        </is>
      </c>
      <c r="D41" s="3" t="inlineStr">
        <is>
          <t>Teacher Education (BEED / BSEDE / BSEDM / TEP)</t>
        </is>
      </c>
      <c r="E41" s="2" t="inlineStr">
        <is>
          <t>FT</t>
        </is>
      </c>
      <c r="F41" s="2" t="n">
        <v>24</v>
      </c>
      <c r="G41" s="2" t="n">
        <v>7</v>
      </c>
      <c r="H41" s="3" t="inlineStr">
        <is>
          <t>Curriculum &amp; Syllabi — BEED/BSED</t>
        </is>
      </c>
      <c r="I41" s="3" t="inlineStr">
        <is>
          <t>PROGRAMME-SPECIALISED COURSES — BEED and BSED. Write the COURSE DESCRIPTION and the OBE SYLLABUS for the BEED and BSED major courses allocated to you by Chair K. Garcia. The allocation naming your specific courses is tracked as item 79, due 25 Sep 2026. Common syllabus template: 14-week trimester, 56 hours per 3-unit course, two examinations (midterm and final) plus one required monthly assessment and regular quizzes. Hand in to your Chair: descriptions 9 Oct 2026, syllabi 16 Oct 2026. Feeds tracker items 55 and 56 (BEED) and 61 and 62 (BSED). MOVED OUT OF THE GENERAL EDUCATION SYLLABI POOL on 13 Sep 2026 by direction of the Vice Dean, so that this major-course load is not carried on top of the college-wide general education work — you hold the heaviest prep count in the department at 7. Records obligation on top, compulsory for all faculty: certified true copy of Transcript of Records and signed contract to HR by 30 Oct 2026 (items 12–13).</t>
        </is>
      </c>
      <c r="J41" s="21" t="inlineStr">
        <is>
          <t>#55–56, 61–62, 79</t>
        </is>
      </c>
      <c r="K41" s="3" t="inlineStr">
        <is>
          <t>Moved out of the General Education Syllabi Pool 13 Sep 2026 by direction of the Vice Dean — she writes BEED/BSED major courses instead. The pool now has 7 writers.</t>
        </is>
      </c>
    </row>
    <row r="42" ht="23.75" customHeight="1" s="31">
      <c r="A42" s="2" t="n">
        <v>38</v>
      </c>
      <c r="B42" s="3" t="inlineStr">
        <is>
          <t>Cajucom, Ryan Neil</t>
        </is>
      </c>
      <c r="C42" s="21" t="n"/>
      <c r="D42" s="3" t="inlineStr">
        <is>
          <t>Teacher Education (BEED / BSEDE / BSEDM / TEP)</t>
        </is>
      </c>
      <c r="E42" s="2" t="inlineStr">
        <is>
          <t>FT</t>
        </is>
      </c>
      <c r="F42" s="2" t="n">
        <v>27</v>
      </c>
      <c r="G42" s="2" t="n">
        <v>6</v>
      </c>
      <c r="H42" s="3" t="inlineStr">
        <is>
          <t>Curriculum &amp; Syllabi — BEED/BSED</t>
        </is>
      </c>
      <c r="I42" s="3" t="inlineStr">
        <is>
          <t>PROGRAMME-SPECIALISED COURSES — BEED and BSED. Write the COURSE DESCRIPTION and the OBE SYLLABUS for the BEED and BSED major courses allocated to you by Chair K. Garcia. The allocation naming your specific courses is tracked as item 79, due 25 Sep 2026. Common syllabus template: 14-week trimester, 56 hours per 3-unit course, two examinations (midterm and final) plus one required monthly assessment and regular quizzes. Hand in to your Chair: descriptions 9 Oct 2026, syllabi 16 Oct 2026. Feeds tracker items 55 and 56 (BEED) and 61 and 62 (BSED). Records obligation on top, compulsory for all faculty: certified true copy of Transcript of Records and signed contract to HR by 30 Oct 2026 (items 12–13).</t>
        </is>
      </c>
      <c r="J42" s="21" t="inlineStr">
        <is>
          <t>#55–56, 61–62</t>
        </is>
      </c>
      <c r="K42" s="3" t="n"/>
    </row>
    <row r="43" ht="23.75" customHeight="1" s="31">
      <c r="A43" s="2" t="n">
        <v>39</v>
      </c>
      <c r="B43" s="3" t="inlineStr">
        <is>
          <t>Calma, Shiela Mae C.</t>
        </is>
      </c>
      <c r="C43" s="21" t="n"/>
      <c r="D43" s="3" t="inlineStr">
        <is>
          <t>Teacher Education (BEED / BSEDE / BSEDM / TEP)</t>
        </is>
      </c>
      <c r="E43" s="2" t="inlineStr">
        <is>
          <t>FT</t>
        </is>
      </c>
      <c r="F43" s="2" t="n">
        <v>24</v>
      </c>
      <c r="G43" s="2" t="n">
        <v>4</v>
      </c>
      <c r="H43" s="3" t="inlineStr">
        <is>
          <t>Curriculum &amp; Syllabi — BEED/BSED; General Education Syllabi Pool (college-wide)</t>
        </is>
      </c>
      <c r="I43" s="3" t="inlineStr">
        <is>
          <t>GENERAL EDUCATION SYLLABI POOL (tracker item 74) — write the COURSE DESCRIPTION and the OBE SYLLABUS for 3 allocated courses, one set serving all 8 programmes: PATH-FIT 1 Movement Competency Training; PATH-FIT 2 Exercise-Based Fitness Activities; NSTP 1 Civic Welfare Training Service 1. 6 documents in total. Common syllabus template: 14-week trimester, 56 hours per 3-unit course, two examinations (midterm and final) plus one required monthly assessment and regular quizzes. Hand in to Chair Kent E. Garcia: descriptions 9 Oct 2026, syllabi 16 Oct 2026. Course codes are the BSA/BSAIS spellings — reconcile with your own programme's codes once Open Item 7 is closed. Not included in the BEED/BSED specialised allocation (item 79) while carrying this pool load. NSTP 1 is the prerequisite of NSTP 2 and the two are split between Calma and Mequiabas — agree the two syllabi between you so the sequence holds. Records obligation on top, compulsory for all faculty: certified true copy of Transcript of Records and signed contract to HR by 30 Oct 2026 (items 12–13).  PROPOSED FIRST YEAR TRIMESTER LOADING — teaches PATH-FIT 1 Movement Competency Training (T1). Writes the course description and the outcomes-based syllabus for each of those courses, for review by the Program Chair.</t>
        </is>
      </c>
      <c r="J43" s="21" t="inlineStr">
        <is>
          <t>#19–20, 25–26, 31–32, 37–38, 43–44, 49–50, 55–56, 61–62</t>
        </is>
      </c>
      <c r="K43" s="3" t="n"/>
    </row>
    <row r="44" ht="23.75" customHeight="1" s="31">
      <c r="A44" s="2" t="n">
        <v>40</v>
      </c>
      <c r="B44" s="3" t="inlineStr">
        <is>
          <t>Delos Reyes, Diana Maris</t>
        </is>
      </c>
      <c r="C44" s="21" t="n"/>
      <c r="D44" s="3" t="inlineStr">
        <is>
          <t>Teacher Education (BEED / BSEDE / BSEDM / TEP)</t>
        </is>
      </c>
      <c r="E44" s="2" t="inlineStr">
        <is>
          <t>FT</t>
        </is>
      </c>
      <c r="F44" s="2" t="n">
        <v>27</v>
      </c>
      <c r="G44" s="2" t="n">
        <v>7</v>
      </c>
      <c r="H44" s="3" t="inlineStr">
        <is>
          <t>Curriculum &amp; Syllabi — BEED/BSED</t>
        </is>
      </c>
      <c r="I44" s="3" t="inlineStr">
        <is>
          <t>PROGRAMME-SPECIALISED COURSES — BEED and BSED. Write the COURSE DESCRIPTION and the OBE SYLLABUS for the BEED and BSED major courses allocated to you by Chair K. Garcia. The allocation naming your specific courses is tracked as item 79, due 25 Sep 2026. Common syllabus template: 14-week trimester, 56 hours per 3-unit course, two examinations (midterm and final) plus one required monthly assessment and regular quizzes. Hand in to your Chair: descriptions 9 Oct 2026, syllabi 16 Oct 2026. Feeds tracker items 55 and 56 (BEED) and 61 and 62 (BSED). Records obligation on top, compulsory for all faculty: certified true copy of Transcript of Records and signed contract to HR by 30 Oct 2026 (items 12–13).</t>
        </is>
      </c>
      <c r="J44" s="21" t="inlineStr">
        <is>
          <t>#55–56, 61–62</t>
        </is>
      </c>
      <c r="K44" s="3" t="n"/>
    </row>
    <row r="45" ht="23.75" customHeight="1" s="31">
      <c r="A45" s="2" t="n">
        <v>41</v>
      </c>
      <c r="B45" s="3" t="inlineStr">
        <is>
          <t>Garcia, Almario B.</t>
        </is>
      </c>
      <c r="C45" s="21" t="inlineStr">
        <is>
          <t>Dr.</t>
        </is>
      </c>
      <c r="D45" s="3" t="inlineStr">
        <is>
          <t>Teacher Education (BEED / BSEDE / BSEDM / TEP)</t>
        </is>
      </c>
      <c r="E45" s="2" t="inlineStr">
        <is>
          <t>FT</t>
        </is>
      </c>
      <c r="F45" s="2" t="n">
        <v>3</v>
      </c>
      <c r="G45" s="2" t="n">
        <v>1</v>
      </c>
      <c r="H45" s="3" t="inlineStr">
        <is>
          <t>Curriculum &amp; Syllabi — BEED/BSED</t>
        </is>
      </c>
      <c r="I45" s="3" t="inlineStr">
        <is>
          <t>COLLEGE DEAN and TASK FORCE CO-LEAD — support role, not allocated course-writing. Reviews and signs every programme's curriculum in the sign-off chain (prepared by the Chair, reviewed by the Dean, approved by the VPAA) and gives the executive endorsement of the completed dossier, item 71, by 10 Nov 2026. Records obligation on top, compulsory for all faculty: certified true copy of Transcript of Records and signed contract to HR by 30 Oct 2026 (items 12–13).</t>
        </is>
      </c>
      <c r="J45" s="21" t="inlineStr">
        <is>
          <t>#55–56, 61–62</t>
        </is>
      </c>
      <c r="K45" s="3" t="inlineStr">
        <is>
          <t>Listed in the leadership block of the Assignment Matrix as Dean Dr. Almario B. Garcia.</t>
        </is>
      </c>
    </row>
    <row r="46" ht="23.75" customHeight="1" s="31">
      <c r="A46" s="2" t="n">
        <v>42</v>
      </c>
      <c r="B46" s="3" t="inlineStr">
        <is>
          <t>Garcia, Kent E.</t>
        </is>
      </c>
      <c r="C46" s="21" t="n"/>
      <c r="D46" s="3" t="inlineStr">
        <is>
          <t>Teacher Education (BEED / BSEDE / BSEDM / TEP)</t>
        </is>
      </c>
      <c r="E46" s="2" t="inlineStr">
        <is>
          <t>FT</t>
        </is>
      </c>
      <c r="F46" s="2" t="n">
        <v>12</v>
      </c>
      <c r="G46" s="2" t="n">
        <v>4</v>
      </c>
      <c r="H46" s="3" t="inlineStr">
        <is>
          <t>Curriculum &amp; Syllabi — BEED/BSED</t>
        </is>
      </c>
      <c r="I46" s="3" t="inlineStr">
        <is>
          <t>PROGRAM CHAIR (BEED and BSED) and LEAD of the General Education Syllabi Pool — owns items 51 to 62, 74 and 79. As pool lead: allocate the 20 general education, PATH-FIT, NSTP and CLE courses across the eight writers (allocation below), issue one common syllabus template carrying the assessment scheme and the 14-week / 56-hour basis, set internal hand-in dates ahead of 9 Oct and 16 Oct, hand one finished set to all eight Chairs, and report slippage to the Vice Dean. BLOCKED BY OPEN ITEM 7 — you cannot allocate courses whose codes, units and hour splits are not yet harmonised across the eight programmes; raise that first. Publish item 79 separately: the six Teacher Education faculty NOT in the pool write the BEED and BSED major courses. Records obligation on top, compulsory for all faculty: certified true copy of Transcript of Records and signed contract to HR by 30 Oct 2026 (items 12–13).</t>
        </is>
      </c>
      <c r="J46" s="21" t="inlineStr">
        <is>
          <t>#55–56, 61–62</t>
        </is>
      </c>
      <c r="K46" s="3" t="inlineStr">
        <is>
          <t>Listed in the leadership block of the Assignment Matrix as Program Chair Kent E. Garcia.</t>
        </is>
      </c>
    </row>
    <row r="47" ht="23.75" customHeight="1" s="31">
      <c r="A47" s="2" t="n">
        <v>43</v>
      </c>
      <c r="B47" s="3" t="inlineStr">
        <is>
          <t>Germino, Melanie</t>
        </is>
      </c>
      <c r="C47" s="21" t="n"/>
      <c r="D47" s="3" t="inlineStr">
        <is>
          <t>Teacher Education (BEED / BSEDE / BSEDM / TEP)</t>
        </is>
      </c>
      <c r="E47" s="2" t="inlineStr">
        <is>
          <t>FT</t>
        </is>
      </c>
      <c r="F47" s="2" t="n">
        <v>27</v>
      </c>
      <c r="G47" s="2" t="n">
        <v>7</v>
      </c>
      <c r="H47" s="3" t="inlineStr">
        <is>
          <t>Curriculum &amp; Syllabi — BEED/BSED; General Education Syllabi Pool</t>
        </is>
      </c>
      <c r="I47" s="3" t="inlineStr">
        <is>
          <t>PROGRAMME-SPECIALISED COURSES — BEED and BSED. Write the COURSE DESCRIPTION and the OBE SYLLABUS for the BEED and BSED major courses allocated to you by Chair K. Garcia. The allocation naming your specific courses is tracked as item 79, due 25 Sep 2026. Common syllabus template: 14-week trimester, 56 hours per 3-unit course, two examinations (midterm and final) plus one required monthly assessment and regular quizzes. Hand in to your Chair: descriptions 9 Oct 2026, syllabi 16 Oct 2026. Feeds tracker items 55 and 56 (BEED) and 61 and 62 (BSED). Records obligation on top, compulsory for all faculty: certified true copy of Transcript of Records and signed contract to HR by 30 Oct 2026 (items 12–13).  PROPOSED FIRST YEAR TRIMESTER LOADING — teaches MAT-GEC Mathematics in the Modern World and HIS-GEC Readings in Philippine History (T1). Writes the course description and the outcomes-based syllabus for each of those courses, for review by the Program Chair.  GENERAL EDUCATION SYLLABI POOL (tracker item 74) — writes the course description and the OBE syllabus for HIS-GEC Readings in Philippine History, reallocated from D. Maglalang on her resignation, 26 Oct 2026.</t>
        </is>
      </c>
      <c r="J47" s="21" t="inlineStr">
        <is>
          <t>#55–56, 61–62, #19–20, 25–26, 74</t>
        </is>
      </c>
      <c r="K47" s="3" t="n"/>
    </row>
    <row r="48" ht="23.75" customHeight="1" s="31">
      <c r="A48" s="2" t="n">
        <v>44</v>
      </c>
      <c r="B48" s="3" t="inlineStr">
        <is>
          <t>Ilag, Ferdinand T.</t>
        </is>
      </c>
      <c r="C48" s="21" t="n"/>
      <c r="D48" s="3" t="inlineStr">
        <is>
          <t>Teacher Education (BEED / BSEDE / BSEDM / TEP)</t>
        </is>
      </c>
      <c r="E48" s="2" t="inlineStr">
        <is>
          <t>FT</t>
        </is>
      </c>
      <c r="F48" s="2" t="n">
        <v>21</v>
      </c>
      <c r="G48" s="2" t="n">
        <v>3</v>
      </c>
      <c r="H48" s="3" t="inlineStr">
        <is>
          <t>Curriculum &amp; Syllabi — BEED/BSED; General Education Syllabi Pool (college-wide)</t>
        </is>
      </c>
      <c r="I48" s="3" t="inlineStr">
        <is>
          <t>GENERAL EDUCATION SYLLABI POOL (tracker item 74) — write the COURSE DESCRIPTION and the OBE SYLLABUS for 3 allocated courses, one set serving all 8 programmes: REL-GEC Religion, Religious Experience and Spirituality; CLE 1 Church and Salvation History; STS-GEC Science, Technology and Society. 6 documents in total. Common syllabus template: 14-week trimester, 56 hours per 3-unit course, two examinations (midterm and final) plus one required monthly assessment and regular quizzes. Hand in to Chair Kent E. Garcia: descriptions 9 Oct 2026, syllabi 16 Oct 2026. Course codes are the BSA/BSAIS spellings — reconcile with your own programme's codes once Open Item 7 is closed. Not included in the BEED/BSED specialised allocation (item 79) while carrying this pool load. Records obligation on top, compulsory for all faculty: certified true copy of Transcript of Records and signed contract to HR by 30 Oct 2026 (items 12–13).  PROPOSED FIRST YEAR TRIMESTER LOADING — teaches REL-GEC Religion, Religious Experience and Spirituality (T2), CLE 1 Church and Salvation History (T3) — CLE 1 reassigned from D. Maglalang, resigned. Writes the course description and the outcomes-based syllabus for each of those courses, for review by the Program Chair.  Also takes CLE 2 in the GE pool, reallocated from D. Maglalang, 26 Oct 2026.</t>
        </is>
      </c>
      <c r="J48" s="21" t="inlineStr">
        <is>
          <t>#19–20, 25–26, 31–32, 37–38, 43–44, 49–50, 55–56, 61–62</t>
        </is>
      </c>
      <c r="K48" s="3" t="n"/>
    </row>
    <row r="49" ht="23.75" customHeight="1" s="31">
      <c r="A49" s="2" t="n">
        <v>45</v>
      </c>
      <c r="B49" s="3" t="inlineStr">
        <is>
          <t>Jamlang, Jamie A.</t>
        </is>
      </c>
      <c r="C49" s="21" t="n"/>
      <c r="D49" s="3" t="inlineStr">
        <is>
          <t>Teacher Education (BEED / BSEDE / BSEDM / TEP)</t>
        </is>
      </c>
      <c r="E49" s="2" t="inlineStr">
        <is>
          <t>FT</t>
        </is>
      </c>
      <c r="F49" s="2" t="n">
        <v>27</v>
      </c>
      <c r="G49" s="2" t="n">
        <v>5</v>
      </c>
      <c r="H49" s="3" t="inlineStr">
        <is>
          <t>Curriculum &amp; Syllabi — BEED/BSED; General Education Syllabi Pool (college-wide)</t>
        </is>
      </c>
      <c r="I49" s="3" t="inlineStr">
        <is>
          <t>GENERAL EDUCATION SYLLABI POOL (tracker item 74) — write the COURSE DESCRIPTION and the OBE SYLLABUS for 2 allocated courses, one set serving all 8 programmes: CON-GEC The Contemporary World; ITE-GEC Living in the I.T. Era. 4 documents in total. Common syllabus template: 14-week trimester, 56 hours per 3-unit course, two examinations (midterm and final) plus one required monthly assessment and regular quizzes. Hand in to Chair Kent E. Garcia: descriptions 9 Oct 2026, syllabi 16 Oct 2026. Course codes are the BSA/BSAIS spellings — reconcile with your own programme's codes once Open Item 7 is closed. Not included in the BEED/BSED specialised allocation (item 79) while carrying this pool load. Records obligation on top, compulsory for all faculty: certified true copy of Transcript of Records and signed contract to HR by 30 Oct 2026 (items 12–13).  PROPOSED FIRST YEAR TRIMESTER LOADING — teaches RIZ-GEC The Life and Works of Rizal (T3). Writes the course description and the outcomes-based syllabus for each of those courses, for review by the Program Chair.  Also takes RIZ-GEC in the GE pool, reallocated from D. Maglalang, 26 Oct 2026.</t>
        </is>
      </c>
      <c r="J49" s="21" t="inlineStr">
        <is>
          <t>#19–20, 25–26, 31–32, 37–38, 43–44, 49–50, 55–56, 61–62</t>
        </is>
      </c>
      <c r="K49" s="3" t="n"/>
    </row>
    <row r="50" ht="23.75" customHeight="1" s="31">
      <c r="A50" s="2" t="n">
        <v>46</v>
      </c>
      <c r="B50" s="3" t="inlineStr">
        <is>
          <t>Manuel, Consuelo V.</t>
        </is>
      </c>
      <c r="C50" s="21" t="inlineStr">
        <is>
          <t>Dr.</t>
        </is>
      </c>
      <c r="D50" s="3" t="inlineStr">
        <is>
          <t>Teacher Education (BEED / BSEDE / BSEDM / TEP)</t>
        </is>
      </c>
      <c r="E50" s="2" t="inlineStr">
        <is>
          <t>FT</t>
        </is>
      </c>
      <c r="F50" s="2" t="n">
        <v>24</v>
      </c>
      <c r="G50" s="2" t="n">
        <v>4</v>
      </c>
      <c r="H50" s="3" t="inlineStr">
        <is>
          <t>Curriculum &amp; Syllabi — BEED/BSED; General Education Syllabi Pool (college-wide)</t>
        </is>
      </c>
      <c r="I50" s="3" t="inlineStr">
        <is>
          <t>GENERAL EDUCATION SYLLABI POOL (tracker item 74) — write the COURSE DESCRIPTION and the OBE SYLLABUS for 3 allocated courses, one set serving all 8 programmes: ETH-GEC Ethics; MAT-GEC Mathematics in the Modern World; BL-GEC Business Logic. 6 documents in total. Common syllabus template: 14-week trimester, 56 hours per 3-unit course, two examinations (midterm and final) plus one required monthly assessment and regular quizzes. Hand in to Chair Kent E. Garcia: descriptions 9 Oct 2026, syllabi 16 Oct 2026. Course codes are the BSA/BSAIS spellings — reconcile with your own programme's codes once Open Item 7 is closed. Not included in the BEED/BSED specialised allocation (item 79) while carrying this pool load. Records obligation on top, compulsory for all faculty: certified true copy of Transcript of Records and signed contract to HR by 30 Oct 2026 (items 12–13).</t>
        </is>
      </c>
      <c r="J50" s="21" t="inlineStr">
        <is>
          <t>#19–20, 25–26, 31–32, 37–38, 43–44, 49–50, 55–56, 61–62</t>
        </is>
      </c>
      <c r="K50" s="3" t="n"/>
    </row>
    <row r="51" ht="23.75" customHeight="1" s="31">
      <c r="A51" s="2" t="n">
        <v>47</v>
      </c>
      <c r="B51" s="3" t="inlineStr">
        <is>
          <t>Mequiabas, Meah</t>
        </is>
      </c>
      <c r="C51" s="21" t="n"/>
      <c r="D51" s="3" t="inlineStr">
        <is>
          <t>Teacher Education (BEED / BSEDE / BSEDM / TEP)</t>
        </is>
      </c>
      <c r="E51" s="2" t="inlineStr">
        <is>
          <t>FT</t>
        </is>
      </c>
      <c r="F51" s="2" t="n">
        <v>26</v>
      </c>
      <c r="G51" s="2" t="n">
        <v>4</v>
      </c>
      <c r="H51" s="3" t="inlineStr">
        <is>
          <t>Curriculum &amp; Syllabi — BEED/BSED; General Education Syllabi Pool (college-wide)</t>
        </is>
      </c>
      <c r="I51" s="3" t="inlineStr">
        <is>
          <t>GENERAL EDUCATION SYLLABI POOL (tracker item 74) — write the COURSE DESCRIPTION and the OBE SYLLABUS for 3 allocated courses, one set serving all 8 programmes: PATH-FIT 3 Dance; PATH-FIT 4 Sports; NSTP 2 Civic Welfare Training Service 2. 6 documents in total. Common syllabus template: 14-week trimester, 56 hours per 3-unit course, two examinations (midterm and final) plus one required monthly assessment and regular quizzes. Hand in to Chair Kent E. Garcia: descriptions 9 Oct 2026, syllabi 16 Oct 2026. Course codes are the BSA/BSAIS spellings — reconcile with your own programme's codes once Open Item 7 is closed. Not included in the BEED/BSED specialised allocation (item 79) while carrying this pool load. NSTP 1 is the prerequisite of NSTP 2 and the two are split between Calma and Mequiabas — agree the two syllabi between you so the sequence holds. Records obligation on top, compulsory for all faculty: certified true copy of Transcript of Records and signed contract to HR by 30 Oct 2026 (items 12–13).  PROPOSED FIRST YEAR TRIMESTER LOADING — teaches ART-GEC Art Appreciation and PATH-FIT 2 (T2), PATH-FIT 3 Dance (T3). Writes the course description and the outcomes-based syllabus for each of those courses, for review by the Program Chair.</t>
        </is>
      </c>
      <c r="J51" s="21" t="inlineStr">
        <is>
          <t>#19–20, 25–26, 31–32, 37–38, 43–44, 49–50, 55–56, 61–62</t>
        </is>
      </c>
      <c r="K51" s="3" t="n"/>
    </row>
    <row r="52" ht="23.75" customHeight="1" s="31">
      <c r="A52" s="2" t="n">
        <v>48</v>
      </c>
      <c r="B52" s="3" t="inlineStr">
        <is>
          <t>Sta. Cruz, Ma. Patricia</t>
        </is>
      </c>
      <c r="C52" s="21" t="n"/>
      <c r="D52" s="3" t="inlineStr">
        <is>
          <t>Teacher Education (BEED / BSEDE / BSEDM / TEP)</t>
        </is>
      </c>
      <c r="E52" s="2" t="inlineStr">
        <is>
          <t>FT</t>
        </is>
      </c>
      <c r="F52" s="2" t="n">
        <v>27</v>
      </c>
      <c r="G52" s="2" t="n">
        <v>3</v>
      </c>
      <c r="H52" s="3" t="inlineStr">
        <is>
          <t>Curriculum &amp; Syllabi — BEED/BSED; Library Collection</t>
        </is>
      </c>
      <c r="I52" s="3" t="inlineStr">
        <is>
          <t>PROGRAMME-SPECIALISED COURSES — BEED and BSED. Write the COURSE DESCRIPTION and the OBE SYLLABUS for the BEED and BSED major courses allocated to you by Chair K. Garcia. The allocation naming your specific courses is tracked as item 79, due 25 Sep 2026. Common syllabus template: 14-week trimester, 56 hours per 3-unit course, two examinations (midterm and final) plus one required monthly assessment and regular quizzes. Hand in to your Chair: descriptions 9 Oct 2026, syllabi 16 Oct 2026. Feeds tracker items 55 and 56 (BEED) and 61 and 62 (BSED). Also a named member of the library team — owns the working papers behind items 66 to 69 with Bernardo, on top of a 27-unit teaching load. Weight your course share accordingly with the Chair. Records obligation on top, compulsory for all faculty: certified true copy of Transcript of Records and signed contract to HR by 30 Oct 2026 (items 12–13).</t>
        </is>
      </c>
      <c r="J52" s="21" t="inlineStr">
        <is>
          <t>#55–56, 61–62, 66–69</t>
        </is>
      </c>
      <c r="K52" s="3" t="inlineStr">
        <is>
          <t>Also a member of the library team named in the project plan — library duty on top of a full teaching load.</t>
        </is>
      </c>
    </row>
    <row r="53" ht="35" customHeight="1" s="31">
      <c r="A53" s="2" t="n">
        <v>49</v>
      </c>
      <c r="B53" s="3" t="inlineStr">
        <is>
          <t>Tolosa, Nenita</t>
        </is>
      </c>
      <c r="C53" s="21" t="n"/>
      <c r="D53" s="3" t="inlineStr">
        <is>
          <t>Teacher Education (BEED / BSEDE / BSEDM / TEP)</t>
        </is>
      </c>
      <c r="E53" s="2" t="inlineStr">
        <is>
          <t>FT</t>
        </is>
      </c>
      <c r="F53" s="2" t="n">
        <v>24</v>
      </c>
      <c r="G53" s="2" t="n">
        <v>5</v>
      </c>
      <c r="H53" s="3" t="inlineStr">
        <is>
          <t>Curriculum &amp; Syllabi — BEED/BSED; General Education Syllabi Pool (college-wide)</t>
        </is>
      </c>
      <c r="I53" s="3" t="inlineStr">
        <is>
          <t>GENERAL EDUCATION SYLLABI POOL (tracker item 74) — write the COURSE DESCRIPTION and the OBE SYLLABUS for 3 allocated courses, one set serving all 8 programmes: ART-GEC Art Appreciation; COM-GEC Purposive Communication; US-GEC Understanding the Self. 6 documents in total. Common syllabus template: 14-week trimester, 56 hours per 3-unit course, two examinations (midterm and final) plus one required monthly assessment and regular quizzes. Hand in to Chair Kent E. Garcia: descriptions 9 Oct 2026, syllabi 16 Oct 2026. Course codes are the BSA/BSAIS spellings — reconcile with your own programme's codes once Open Item 7 is closed. Not included in the BEED/BSED specialised allocation (item 79) while carrying this pool load. Records obligation on top, compulsory for all faculty: certified true copy of Transcript of Records and signed contract to HR by 30 Oct 2026 (items 12–13).  PROPOSED FIRST YEAR TRIMESTER LOADING — teaches US-GEC Understanding the Self (T1). Writes the course description and the outcomes-based syllabus for each of those courses, for review by the Program Chair.</t>
        </is>
      </c>
      <c r="J53" s="21" t="inlineStr">
        <is>
          <t>#19–20, 25–26, 31–32, 37–38, 43–44, 49–50, 55–56, 61–62</t>
        </is>
      </c>
      <c r="K53" s="3" t="n"/>
    </row>
    <row r="54" ht="23.75" customHeight="1" s="31">
      <c r="A54" s="2" t="n">
        <v>50</v>
      </c>
      <c r="B54" s="3" t="inlineStr">
        <is>
          <t>Villamayor, Xyrelle</t>
        </is>
      </c>
      <c r="C54" s="21" t="n"/>
      <c r="D54" s="3" t="inlineStr">
        <is>
          <t>Teacher Education (BEED / BSEDE / BSEDM / TEP)</t>
        </is>
      </c>
      <c r="E54" s="2" t="inlineStr">
        <is>
          <t>FT</t>
        </is>
      </c>
      <c r="F54" s="2" t="n">
        <v>27</v>
      </c>
      <c r="G54" s="2" t="n">
        <v>6</v>
      </c>
      <c r="H54" s="3" t="inlineStr">
        <is>
          <t>Curriculum &amp; Syllabi — BEED/BSED</t>
        </is>
      </c>
      <c r="I54" s="3" t="inlineStr">
        <is>
          <t>PROGRAMME-SPECIALISED COURSES — BEED and BSED. Write the COURSE DESCRIPTION and the OBE SYLLABUS for the BEED and BSED major courses allocated to you by Chair K. Garcia. The allocation naming your specific courses is tracked as item 79, due 25 Sep 2026. Common syllabus template: 14-week trimester, 56 hours per 3-unit course, two examinations (midterm and final) plus one required monthly assessment and regular quizzes. Hand in to your Chair: descriptions 9 Oct 2026, syllabi 16 Oct 2026. Feeds tracker items 55 and 56 (BEED) and 61 and 62 (BSED). Records obligation on top, compulsory for all faculty: certified true copy of Transcript of Records and signed contract to HR by 30 Oct 2026 (items 12–13).  PROPOSED FIRST YEAR TRIMESTER LOADING — teaches COM-GEC Purposive Communication (T2), CON-GEC The Contemporary World (T3). Writes the course description and the outcomes-based syllabus for each of those courses, for review by the Program Chair.</t>
        </is>
      </c>
      <c r="J54" s="21" t="inlineStr">
        <is>
          <t>#55–56, 61–62, #19–20, 25–26</t>
        </is>
      </c>
      <c r="K54" s="3" t="n"/>
    </row>
    <row r="55" ht="23.75" customHeight="1" s="31">
      <c r="A55" s="22" t="n">
        <v>51</v>
      </c>
      <c r="B55" s="12" t="inlineStr">
        <is>
          <t>Adiova, Marites</t>
        </is>
      </c>
      <c r="C55" s="23" t="n"/>
      <c r="D55" s="12" t="inlineStr">
        <is>
          <t>Teacher Education (BEED / BSEDE / BSEDM / TEP)</t>
        </is>
      </c>
      <c r="E55" s="22" t="inlineStr">
        <is>
          <t>PT</t>
        </is>
      </c>
      <c r="F55" s="22" t="n">
        <v>3</v>
      </c>
      <c r="G55" s="22" t="n">
        <v>1</v>
      </c>
      <c r="H55" s="12" t="inlineStr">
        <is>
          <t>Not tasked — part-time</t>
        </is>
      </c>
      <c r="I55" s="3" t="inlineStr">
        <is>
          <t>Not tasked with project work (part-time). Records obligation only, and it is compulsory: submit your certified true copy of Transcript of Records and your signed appointment / contract / letter of commitment to HR Officer Dela Cruz by 30 Oct 2026 — checklist items 5.2 and 5.3, tracker items 12 and 13.</t>
        </is>
      </c>
      <c r="J55" s="23" t="inlineStr">
        <is>
          <t>—</t>
        </is>
      </c>
      <c r="K55" s="12" t="inlineStr">
        <is>
          <t>Part-time — not tasked.</t>
        </is>
      </c>
    </row>
    <row r="56" ht="23.75" customHeight="1" s="31">
      <c r="A56" s="22" t="n">
        <v>52</v>
      </c>
      <c r="B56" s="12" t="inlineStr">
        <is>
          <t>Cabrera, Francis</t>
        </is>
      </c>
      <c r="C56" s="23" t="n"/>
      <c r="D56" s="12" t="inlineStr">
        <is>
          <t>Teacher Education (BEED / BSEDE / BSEDM / TEP)</t>
        </is>
      </c>
      <c r="E56" s="22" t="inlineStr">
        <is>
          <t>PT</t>
        </is>
      </c>
      <c r="F56" s="22" t="n">
        <v>3</v>
      </c>
      <c r="G56" s="22" t="n">
        <v>1</v>
      </c>
      <c r="H56" s="12" t="inlineStr">
        <is>
          <t>Not tasked — part-time</t>
        </is>
      </c>
      <c r="I56" s="3" t="inlineStr">
        <is>
          <t>Not tasked with project work (part-time). Records obligation only, and it is compulsory: submit your certified true copy of Transcript of Records and your signed appointment / contract / letter of commitment to HR Officer Dela Cruz by 30 Oct 2026 — checklist items 5.2 and 5.3, tracker items 12 and 13.</t>
        </is>
      </c>
      <c r="J56" s="23" t="inlineStr">
        <is>
          <t>—</t>
        </is>
      </c>
      <c r="K56" s="12" t="inlineStr">
        <is>
          <t>Part-time — not tasked.</t>
        </is>
      </c>
    </row>
    <row r="57" ht="23.75" customHeight="1" s="31">
      <c r="A57" s="22" t="n">
        <v>53</v>
      </c>
      <c r="B57" s="12" t="inlineStr">
        <is>
          <t>Gomez, Donna Michelle A.</t>
        </is>
      </c>
      <c r="C57" s="23" t="n"/>
      <c r="D57" s="12" t="inlineStr">
        <is>
          <t>Teacher Education (BEED / BSEDE / BSEDM / TEP)</t>
        </is>
      </c>
      <c r="E57" s="22" t="inlineStr">
        <is>
          <t>PT</t>
        </is>
      </c>
      <c r="F57" s="22" t="n">
        <v>12</v>
      </c>
      <c r="G57" s="22" t="n">
        <v>1</v>
      </c>
      <c r="H57" s="12" t="inlineStr">
        <is>
          <t>Not tasked — part-time</t>
        </is>
      </c>
      <c r="I57" s="3" t="inlineStr">
        <is>
          <t>Not tasked with project work (part-time). Records obligation only, and it is compulsory: submit your certified true copy of Transcript of Records and your signed appointment / contract / letter of commitment to HR Officer Dela Cruz by 30 Oct 2026 — checklist items 5.2 and 5.3, tracker items 12 and 13.</t>
        </is>
      </c>
      <c r="J57" s="23" t="inlineStr">
        <is>
          <t>—</t>
        </is>
      </c>
      <c r="K57" s="12" t="inlineStr">
        <is>
          <t>Part-time — not tasked.</t>
        </is>
      </c>
    </row>
    <row r="58" ht="23.75" customHeight="1" s="31">
      <c r="A58" s="22" t="n">
        <v>54</v>
      </c>
      <c r="B58" s="12" t="inlineStr">
        <is>
          <t>Magdaong, Jennifer</t>
        </is>
      </c>
      <c r="C58" s="23" t="n"/>
      <c r="D58" s="12" t="inlineStr">
        <is>
          <t>Teacher Education (BEED / BSEDE / BSEDM / TEP)</t>
        </is>
      </c>
      <c r="E58" s="22" t="inlineStr">
        <is>
          <t>PT</t>
        </is>
      </c>
      <c r="F58" s="22" t="n">
        <v>3</v>
      </c>
      <c r="G58" s="22" t="n">
        <v>1</v>
      </c>
      <c r="H58" s="12" t="inlineStr">
        <is>
          <t>Not tasked — part-time</t>
        </is>
      </c>
      <c r="I58" s="3" t="inlineStr">
        <is>
          <t>Not tasked with project work (part-time). Records obligation only, and it is compulsory: submit your certified true copy of Transcript of Records and your signed appointment / contract / letter of commitment to HR Officer Dela Cruz by 30 Oct 2026 — checklist items 5.2 and 5.3, tracker items 12 and 13.</t>
        </is>
      </c>
      <c r="J58" s="23" t="inlineStr">
        <is>
          <t>—</t>
        </is>
      </c>
      <c r="K58" s="12" t="inlineStr">
        <is>
          <t>Part-time — not tasked.</t>
        </is>
      </c>
    </row>
    <row r="59" ht="23.75" customHeight="1" s="31"/>
    <row r="60">
      <c r="A60" s="35" t="inlineStr">
        <is>
          <t>Unique faculty</t>
        </is>
      </c>
      <c r="D60" s="15">
        <f>COUNTA($B$5:$B$59)</f>
        <v/>
      </c>
    </row>
    <row r="61" ht="15" customHeight="1" s="31">
      <c r="A61" s="35" t="inlineStr">
        <is>
          <t>Full-time (tasked)</t>
        </is>
      </c>
      <c r="D61" s="15">
        <f>COUNTIF($E$5:$E$59,"FT")</f>
        <v/>
      </c>
    </row>
    <row r="62" ht="15" customHeight="1" s="31">
      <c r="A62" s="35" t="inlineStr">
        <is>
          <t>Part-time (not tasked)</t>
        </is>
      </c>
      <c r="D62" s="15">
        <f>COUNTIF($E$5:$E$59,"PT")</f>
        <v/>
      </c>
    </row>
    <row r="63" ht="15" customHeight="1" s="31">
      <c r="A63" s="35" t="inlineStr">
        <is>
          <t>Full-time faculty available to task (excluding the Dean, the Vice Dean and the 5 Programme Chairs; the MIS Head is on this roster as part-time)</t>
        </is>
      </c>
      <c r="D63" s="15">
        <f>COUNTIF($E$5:$E$59,"FT")-7</f>
        <v/>
      </c>
    </row>
    <row r="64" ht="15" customHeight="1" s="31">
      <c r="A64" s="35" t="inlineStr">
        <is>
          <t>Total units carried this semester</t>
        </is>
      </c>
      <c r="D64" s="15">
        <f>SUM($F$5:$F$59)</f>
        <v/>
      </c>
    </row>
    <row r="65" ht="15" customHeight="1" s="31">
      <c r="A65" s="35" t="inlineStr">
        <is>
          <t>Average units per faculty</t>
        </is>
      </c>
      <c r="D65" s="15">
        <f>ROUND(AVERAGE($F$5:$F$59),1)</f>
        <v/>
      </c>
    </row>
    <row r="66" ht="15" customHeight="1" s="31"/>
  </sheetData>
  <autoFilter ref="A4:J59"/>
  <mergeCells count="8">
    <mergeCell ref="A1:J1"/>
    <mergeCell ref="A60:C60"/>
    <mergeCell ref="A63:C63"/>
    <mergeCell ref="A61:C61"/>
    <mergeCell ref="A62:C62"/>
    <mergeCell ref="A2:J2"/>
    <mergeCell ref="A65:C65"/>
    <mergeCell ref="A64:C64"/>
  </mergeCells>
  <pageMargins left="0.75" right="0.75" top="1" bottom="1" header="0.511811023622047" footer="0.511811023622047"/>
  <pageSetup orientation="landscape" fitToHeight="0" horizontalDpi="300" verticalDpi="300"/>
</worksheet>
</file>

<file path=xl/worksheets/sheet5.xml><?xml version="1.0" encoding="utf-8"?>
<worksheet xmlns="http://schemas.openxmlformats.org/spreadsheetml/2006/main">
  <sheetPr>
    <outlinePr summaryBelow="1" summaryRight="1"/>
    <pageSetUpPr fitToPage="1"/>
  </sheetPr>
  <dimension ref="A1:F31"/>
  <sheetViews>
    <sheetView zoomScaleNormal="100" workbookViewId="0">
      <pane ySplit="4" topLeftCell="A5" activePane="bottomLeft" state="frozen"/>
      <selection pane="bottomLeft" activeCell="A1" sqref="A1"/>
    </sheetView>
  </sheetViews>
  <sheetFormatPr baseColWidth="10" defaultColWidth="8.6640625" defaultRowHeight="15"/>
  <cols>
    <col width="13" customWidth="1" style="31" min="1" max="1"/>
    <col width="50" customWidth="1" style="31" min="2" max="2"/>
    <col width="22" customWidth="1" style="31" min="3" max="4"/>
    <col width="15" customWidth="1" style="31" min="5" max="5"/>
    <col width="40" customWidth="1" style="31" min="6" max="6"/>
  </cols>
  <sheetData>
    <row r="1" ht="16.25" customHeight="1" s="31">
      <c r="A1" s="32" t="inlineStr">
        <is>
          <t>MY OUTPUTS — KEN GIE ANTHONY G. CRUEL, CPA, MBA</t>
        </is>
      </c>
    </row>
    <row r="2" ht="25.5" customHeight="1" s="31">
      <c r="A2" s="30" t="inlineStr">
        <is>
          <t>Personal record of work produced on the CHED 3-Year Trimester application, in both capacities: Co-Lead of the CHED Application Task Force and Program Chair for BSA and BSAIS. Add a row each time you finish something — this is the evidence trail behind the tracker.</t>
        </is>
      </c>
    </row>
    <row r="4" ht="30" customHeight="1" s="31">
      <c r="A4" s="1" t="inlineStr">
        <is>
          <t>Date</t>
        </is>
      </c>
      <c r="B4" s="1" t="inlineStr">
        <is>
          <t>Output produced</t>
        </is>
      </c>
      <c r="C4" s="1" t="inlineStr">
        <is>
          <t>Capacity</t>
        </is>
      </c>
      <c r="D4" s="1" t="inlineStr">
        <is>
          <t>Tracker item(s) it serves</t>
        </is>
      </c>
      <c r="E4" s="1" t="inlineStr">
        <is>
          <t>Status</t>
        </is>
      </c>
      <c r="F4" s="1" t="inlineStr">
        <is>
          <t>Where it lives</t>
        </is>
      </c>
    </row>
    <row r="5" ht="68.75" customHeight="1" s="31">
      <c r="A5" s="4" t="n">
        <v>46261</v>
      </c>
      <c r="B5" s="3" t="inlineStr">
        <is>
          <t>Minutes of the Special Meeting of the Council of Program Chairs, including the drafting of Resolutions 2026-08-01 (endorsement of the 3-year trimester transition for all 8 programs), 2026-08-02 (student cohorts and institutional teach-out policy) and 2026-08-03 (mobilisation of the CHED Application Task Force)</t>
        </is>
      </c>
      <c r="C5" s="3" t="inlineStr">
        <is>
          <t>Task Force Co-Lead</t>
        </is>
      </c>
      <c r="D5" s="3" t="inlineStr">
        <is>
          <t>Item 1</t>
        </is>
      </c>
      <c r="E5" s="2" t="inlineStr">
        <is>
          <t>For review</t>
        </is>
      </c>
      <c r="F5" s="3" t="inlineStr">
        <is>
          <t>MEETINGS OF MEETING 08.27.26.docx — circulated for signing</t>
        </is>
      </c>
    </row>
    <row r="6" ht="23.75" customHeight="1" s="31">
      <c r="A6" s="4" t="n">
        <v>46262</v>
      </c>
      <c r="B6" s="3" t="inlineStr">
        <is>
          <t>Transmittal letter to CHED for the proposed 3-Year Trimester System</t>
        </is>
      </c>
      <c r="C6" s="3" t="inlineStr">
        <is>
          <t>Task Force Co-Lead</t>
        </is>
      </c>
      <c r="D6" s="3" t="inlineStr">
        <is>
          <t>Item 1</t>
        </is>
      </c>
      <c r="E6" s="2" t="inlineStr">
        <is>
          <t>Done</t>
        </is>
      </c>
      <c r="F6" s="3" t="inlineStr">
        <is>
          <t>Office of the Vice Dean</t>
        </is>
      </c>
    </row>
    <row r="7" ht="35" customHeight="1" s="31">
      <c r="A7" s="4" t="n">
        <v>46262</v>
      </c>
      <c r="B7" s="3" t="inlineStr">
        <is>
          <t>Four-phase project implementation plan with hard deadlines of 12 Sep, 16 Oct, 30 Oct and 13 Nov 2026, setting out direct execution and delegation for every office</t>
        </is>
      </c>
      <c r="C7" s="3" t="inlineStr">
        <is>
          <t>Task Force Co-Lead</t>
        </is>
      </c>
      <c r="D7" s="3" t="inlineStr">
        <is>
          <t>Items 1–72</t>
        </is>
      </c>
      <c r="E7" s="2" t="inlineStr">
        <is>
          <t>Done</t>
        </is>
      </c>
      <c r="F7" s="3" t="inlineStr">
        <is>
          <t>CHED 3-Year Trimester Application.xlsx</t>
        </is>
      </c>
    </row>
    <row r="8" ht="23.75" customHeight="1" s="31">
      <c r="A8" s="4" t="n">
        <v>46265</v>
      </c>
      <c r="B8" s="3" t="inlineStr">
        <is>
          <t>Draft 9-trimester prospectus for BSA — 191 total units across 9 terms (Year 1: 67, Year 2: 67, Year 3: 57)</t>
        </is>
      </c>
      <c r="C8" s="3" t="inlineStr">
        <is>
          <t>Program Chair, BSA</t>
        </is>
      </c>
      <c r="D8" s="3" t="inlineStr">
        <is>
          <t>Items 15, 16, 17</t>
        </is>
      </c>
      <c r="E8" s="2" t="inlineStr">
        <is>
          <t>In progress</t>
        </is>
      </c>
      <c r="F8" s="3" t="inlineStr">
        <is>
          <t>Sample Curriculum.xlsx, sheet “BSA” — draft, not final</t>
        </is>
      </c>
    </row>
    <row r="9" ht="23.75" customHeight="1" s="31">
      <c r="A9" s="4" t="n">
        <v>46265</v>
      </c>
      <c r="B9" s="3" t="inlineStr">
        <is>
          <t>Draft 9-trimester prospectus for BSAIS — 185 total units across 9 terms (Year 1: 67, Year 2: 67, Year 3: 51)</t>
        </is>
      </c>
      <c r="C9" s="3" t="inlineStr">
        <is>
          <t>Program Chair, BSAIS</t>
        </is>
      </c>
      <c r="D9" s="3" t="inlineStr">
        <is>
          <t>Items 21, 22, 23</t>
        </is>
      </c>
      <c r="E9" s="2" t="inlineStr">
        <is>
          <t>In progress</t>
        </is>
      </c>
      <c r="F9" s="3" t="inlineStr">
        <is>
          <t>Sample Curriculum.xlsx, sheet “BSAIS” — draft, not final</t>
        </is>
      </c>
    </row>
    <row r="10" ht="46.25" customHeight="1" s="31">
      <c r="A10" s="4" t="n">
        <v>46265</v>
      </c>
      <c r="B10" s="3" t="inlineStr">
        <is>
          <t>Proposed HCC academic calendar for AY 2027-2028 — three terms of 15 academic weeks each, with Christmas and Holy Week breaks absorbed, enrolment and grade-processing windows, and graduation set for 10 June 2028</t>
        </is>
      </c>
      <c r="C10" s="3" t="inlineStr">
        <is>
          <t>Task Force Co-Lead</t>
        </is>
      </c>
      <c r="D10" s="3" t="inlineStr">
        <is>
          <t>Items 18, 24</t>
        </is>
      </c>
      <c r="E10" s="2" t="inlineStr">
        <is>
          <t>In progress</t>
        </is>
      </c>
      <c r="F10" s="3" t="inlineStr">
        <is>
          <t>Sample Curriculum.xlsx, sheet “School Calendar”</t>
        </is>
      </c>
    </row>
    <row r="11" ht="35" customHeight="1" s="31">
      <c r="A11" s="4" t="n">
        <v>46265</v>
      </c>
      <c r="B11" s="3" t="inlineStr">
        <is>
          <t>Contact-hour basis for the trimestral schedule under CMO 27 and CMO 30, series of 2017 — 14 contact hours per unit, 42 hours per 3-unit course, 2.8 hours per week over 15 weeks</t>
        </is>
      </c>
      <c r="C11" s="3" t="inlineStr">
        <is>
          <t>Program Chair, BSA &amp; BSAIS</t>
        </is>
      </c>
      <c r="D11" s="3" t="inlineStr">
        <is>
          <t>Items 18, 24</t>
        </is>
      </c>
      <c r="E11" s="2" t="inlineStr">
        <is>
          <t>In progress</t>
        </is>
      </c>
      <c r="F11" s="3" t="inlineStr">
        <is>
          <t>Sample Curriculum.xlsx, sheet “Sample Schedule” — weekly grid still to be built</t>
        </is>
      </c>
    </row>
    <row r="12" ht="35" customHeight="1" s="31">
      <c r="A12" s="4" t="n">
        <v>46286</v>
      </c>
      <c r="B12" s="3" t="inlineStr">
        <is>
          <t>Proposed Schedule of Classes, First Year - Trimester 1 to 3, combined 1-BSA / 1-BSAIS section — 31 contact hours and 23 units per trimester, Monday to Thursday, Friday kept free</t>
        </is>
      </c>
      <c r="C12" s="3" t="inlineStr">
        <is>
          <t>Program Chair, BSA &amp; BSAIS</t>
        </is>
      </c>
      <c r="D12" s="3" t="inlineStr">
        <is>
          <t>Items 18, 24</t>
        </is>
      </c>
      <c r="E12" s="2" t="inlineStr">
        <is>
          <t>For review</t>
        </is>
      </c>
      <c r="F12" s="3" t="inlineStr">
        <is>
          <t>BSA &amp; BSAIS Outputs/Sample Schedule — Word and PDF</t>
        </is>
      </c>
    </row>
    <row r="13" ht="35" customHeight="1" s="31">
      <c r="A13" s="4" t="n">
        <v>46286</v>
      </c>
      <c r="B13" s="3" t="inlineStr">
        <is>
          <t>Proposed Faculty Loading, First Year - Trimester 1 to 3 — one full-time and 13 part-time faculty, units per instructor per trimester</t>
        </is>
      </c>
      <c r="C13" s="3" t="inlineStr">
        <is>
          <t>Program Chair, BSA &amp; BSAIS</t>
        </is>
      </c>
      <c r="D13" s="3" t="inlineStr">
        <is>
          <t>Items 18, 24; supports item 11</t>
        </is>
      </c>
      <c r="E13" s="2" t="inlineStr">
        <is>
          <t>For review</t>
        </is>
      </c>
      <c r="F13" s="3" t="inlineStr">
        <is>
          <t>BSA &amp; BSAIS Outputs/Faculty Matrix &amp; Loading — Word and PDF</t>
        </is>
      </c>
    </row>
    <row r="14" ht="35" customHeight="1" s="31">
      <c r="A14" s="4" t="n">
        <v>46286</v>
      </c>
      <c r="B14" s="3" t="inlineStr">
        <is>
          <t>Naming convention "First Year - Trimester 1" applied to the BSA and BSAIS curricula, Sample Curriculum.xlsx, the sample schedule workbook, CHED Form 1 and 2, and both self-evaluations (builder updated)</t>
        </is>
      </c>
      <c r="C14" s="3" t="inlineStr">
        <is>
          <t>Program Chair, BSA &amp; BSAIS</t>
        </is>
      </c>
      <c r="D14" s="3" t="inlineStr">
        <is>
          <t>Items 2, 15, 21</t>
        </is>
      </c>
      <c r="E14" s="2" t="inlineStr">
        <is>
          <t>Done</t>
        </is>
      </c>
      <c r="F14" s="3" t="inlineStr">
        <is>
          <t>BSA &amp; BSAIS Outputs (all subfolders); Self-Evaluation Builder</t>
        </is>
      </c>
    </row>
    <row r="15" ht="35" customHeight="1" s="31">
      <c r="A15" s="4" t="n">
        <v>46288</v>
      </c>
      <c r="B15" s="3" t="inlineStr">
        <is>
          <t>Feasibility study for the conversion of the BSA to a 3-year trimester delivery — description, management viability (administrator matrix), market viability (five-year enrolment projection from 30 first-year enrollees growing 10% a year), financial viability, matters to be supplied, conclusion and recommendation; cites the Graduate Tracer Study, Batch May 2025 (28 of 30 graduates employed in their field — 93% overall, BSA 95%, BSAIS 90%) and, for BSA, the first CPALE batch (4 passers of 6)</t>
        </is>
      </c>
      <c r="C15" s="3" t="inlineStr">
        <is>
          <t>Program Chair, BSA</t>
        </is>
      </c>
      <c r="D15" s="3" t="inlineStr">
        <is>
          <t>Items 3, 4, 5, 6, 7, 8</t>
        </is>
      </c>
      <c r="E15" s="2" t="inlineStr">
        <is>
          <t>For review</t>
        </is>
      </c>
      <c r="F15" s="3" t="inlineStr">
        <is>
          <t>BSA &amp; BSAIS Outputs/Feasibility Study — Word and PDF</t>
        </is>
      </c>
    </row>
    <row r="16" ht="35" customHeight="1" s="31">
      <c r="A16" s="4" t="n">
        <v>46288</v>
      </c>
      <c r="B16" s="3" t="inlineStr">
        <is>
          <t>Feasibility study for the conversion of the BSAIS to a 3-year trimester delivery — same structure, projected from 25 first-year enrollees growing 10% a year; cites the Graduate Tracer Study, Batch May 2025 (28 of 30 graduates employed in their field — 93% overall, BSA 95%, BSAIS 90%) and, for BSA, the first CPALE batch (4 passers of 6)</t>
        </is>
      </c>
      <c r="C16" s="3" t="inlineStr">
        <is>
          <t>Program Chair, BSAIS</t>
        </is>
      </c>
      <c r="D16" s="3" t="inlineStr">
        <is>
          <t>Items 3, 4, 5, 6, 7, 8</t>
        </is>
      </c>
      <c r="E16" s="2" t="inlineStr">
        <is>
          <t>For review</t>
        </is>
      </c>
      <c r="F16" s="3" t="inlineStr">
        <is>
          <t>BSA &amp; BSAIS Outputs/Feasibility Study — Word and PDF</t>
        </is>
      </c>
    </row>
    <row r="17" ht="35" customHeight="1" s="31">
      <c r="A17" s="4" t="n">
        <v>46288</v>
      </c>
      <c r="B17" s="3" t="inlineStr">
        <is>
          <t>Tuition computation workbook, one per programme — Finance enters the rate per unit, the miscellaneous fee per term, the expense ratios and the tax rate on the Inputs sheet; enrolment, units billed, student-terms, collections, expenses, net income and the per-student comparison against the present four-year delivery all compute</t>
        </is>
      </c>
      <c r="C17" s="3" t="inlineStr">
        <is>
          <t>Program Chair, BSA &amp; BSAIS</t>
        </is>
      </c>
      <c r="D17" s="3" t="inlineStr">
        <is>
          <t>Item 8; supports items 3–7</t>
        </is>
      </c>
      <c r="E17" s="2" t="inlineStr">
        <is>
          <t>For review</t>
        </is>
      </c>
      <c r="F17" s="3" t="inlineStr">
        <is>
          <t>BSA &amp; BSAIS Outputs/Feasibility Study — Excel</t>
        </is>
      </c>
    </row>
    <row r="18">
      <c r="A18" s="4" t="n">
        <v>46288</v>
      </c>
      <c r="B18" s="3" t="inlineStr">
        <is>
          <t>Acceptability survey on the proposed 3-year trimester delivery — questionnaire on HCC letterhead (respondent profile, Part A acceptability, Part B benefits, Part C concerns, Part D readiness of the College, Part E preference and intention, Part F open questions, data privacy notice under RA 10173) and a tabulation workbook with dropdown encoding, weighted means, verbal interpretation bands and an acceptability index that recompute as forms are entered</t>
        </is>
      </c>
      <c r="C18" s="3" t="inlineStr">
        <is>
          <t>Program Chair, BSA &amp; BSAIS</t>
        </is>
      </c>
      <c r="D18" s="3" t="inlineStr">
        <is>
          <t>Supports items 4, 5, 6</t>
        </is>
      </c>
      <c r="E18" s="2" t="inlineStr">
        <is>
          <t>For review</t>
        </is>
      </c>
      <c r="F18" s="3" t="inlineStr">
        <is>
          <t>BSA &amp; BSAIS Outputs/Acceptability Survey — Word, PDF and Excel</t>
        </is>
      </c>
    </row>
    <row r="19" s="31">
      <c r="A19" s="4" t="n">
        <v>46288</v>
      </c>
      <c r="B19" s="3" t="inlineStr">
        <is>
          <t>Sampling plan for the acceptability survey — eight respondent groups with who is asked and how they are chosen, populations entered by office, target respondents computed (whole population for small groups, Slovin at 5% margin for large ones, floors for alumni and employers), and forms-out against forms-back with response rate. Plus all feasibility and survey documents rebuilt on the official HCC letterhead, short bond</t>
        </is>
      </c>
      <c r="C19" s="3" t="inlineStr">
        <is>
          <t>Program Chair, BSA &amp; BSAIS</t>
        </is>
      </c>
      <c r="D19" s="3" t="inlineStr">
        <is>
          <t>Supports items 3–8</t>
        </is>
      </c>
      <c r="E19" s="2" t="inlineStr">
        <is>
          <t>For review</t>
        </is>
      </c>
      <c r="F19" s="3" t="inlineStr">
        <is>
          <t>BSA &amp; BSAIS Outputs/Acceptability Survey and /Feasibility Study</t>
        </is>
      </c>
    </row>
    <row r="20" s="31">
      <c r="A20" s="4" t="n">
        <v>46321</v>
      </c>
      <c r="B20" s="3" t="inlineStr">
        <is>
          <t>Graduate Tracer Study, Batch of May 2025, worked into both feasibility studies — 30 graduates, 28 employed in work related to their field (93%; BSA 19 of 20, BSAIS 9 of 10), time from graduation to hiring, and the employers. Replaces the earlier 95% placeholder. Two entries in the raw file are still open: graduates recorded as employed with no employer named</t>
        </is>
      </c>
      <c r="C20" s="3" t="inlineStr">
        <is>
          <t>Program Chair, BSA &amp; BSAIS</t>
        </is>
      </c>
      <c r="D20" s="3" t="inlineStr">
        <is>
          <t>Items 4, 5; supports items 3, 6</t>
        </is>
      </c>
      <c r="E20" s="2" t="inlineStr">
        <is>
          <t>For review</t>
        </is>
      </c>
      <c r="F20" s="3" t="inlineStr">
        <is>
          <t>BSA &amp; BSAIS Outputs/Feasibility Study — workbook, Word and PDF</t>
        </is>
      </c>
    </row>
    <row r="21">
      <c r="A21" s="4" t="n">
        <v>46321</v>
      </c>
      <c r="B21" s="3" t="inlineStr">
        <is>
          <t>Faculty tasking rebuilt off the Proposed Faculty Loading — the four CPAs who carry the professional courses (J.R. Francisco, J.R. Empay, D.N. Santiago, R. Cruz) now own the course descriptions and syllabi for the courses that loading gives them, and the GE, PATH-FIT, NSTP and CLE teachers are named against theirs, instead of all of it sitting on the Vice Dean. D. Maglalang removed on resignation: CLE 1 in Trimester 3 to F. Ilag, and her three GE pool courses to Ilag (CLE 2), Germino (HIS-GEC) and Jamlang (RIZ-GEC)</t>
        </is>
      </c>
      <c r="C21" s="3" t="inlineStr">
        <is>
          <t>Program Chair, BSA &amp; BSAIS</t>
        </is>
      </c>
      <c r="D21" s="3" t="inlineStr">
        <is>
          <t>Items 19–20, 25–26, 74</t>
        </is>
      </c>
      <c r="E21" s="2" t="inlineStr">
        <is>
          <t>For review</t>
        </is>
      </c>
      <c r="F21" s="3" t="inlineStr">
        <is>
          <t>Tracker — Faculty, Assignments; Faculty Matrix &amp; Loading</t>
        </is>
      </c>
    </row>
    <row r="22">
      <c r="A22" s="4" t="n">
        <v>46321</v>
      </c>
      <c r="B22" s="3" t="inlineStr">
        <is>
          <t>Course syllabi, outcomes-based, for all remaining BSA and BSAIS courses (64 new drafts; 73 courses covered with the existing samples) — 14-week / 56-hour basis, mapped to the programme outcomes; references blank</t>
        </is>
      </c>
      <c r="C22" s="3" t="inlineStr">
        <is>
          <t>Program Chair, BSA &amp; BSAIS</t>
        </is>
      </c>
      <c r="D22" s="3" t="inlineStr">
        <is>
          <t>Items 20, 26; supports items 74, 75</t>
        </is>
      </c>
      <c r="E22" s="2" t="inlineStr">
        <is>
          <t>For review</t>
        </is>
      </c>
      <c r="F22" s="3" t="inlineStr">
        <is>
          <t>BSA &amp; BSAIS Outputs/Sample Syllabus/Drafts for Review — Word</t>
        </is>
      </c>
    </row>
    <row r="23">
      <c r="A23" s="4" t="n">
        <v>46321</v>
      </c>
      <c r="B23" s="3" t="inlineStr">
        <is>
          <t>Course teacher named on every First Year syllabus — Prepared by / Subject Instructor set from the Proposed Faculty Loading across 24 courses (J.R. Francisco: FAR, CFAS; J.R. Empay: CBME 1, BL1; D.N. Santiago: MGT1; R. Cruz: FINMGT; M. Germino: MAT-GEC, HIS-GEC; N. Tolosa: US-GEC; S.M. Calma: PATH-FIT 1; L. Ramos: NSTP 1 and 2; M. Mequiabas: ART-GEC, PATH-FIT 2 and 3; X. Villamayor: COM-GEC, CON-GEC; F. Ilag: REL-GEC, CLE 1; J. Jamlang: RIZ-GEC; Vice Dean: ECO1, IA1, CAC). Middle initials are missing for most and should be supplied before filing</t>
        </is>
      </c>
      <c r="C23" s="3" t="inlineStr">
        <is>
          <t>Program Chair, BSA &amp; BSAIS</t>
        </is>
      </c>
      <c r="D23" s="3" t="inlineStr">
        <is>
          <t>Items 20, 26</t>
        </is>
      </c>
      <c r="E23" s="2" t="inlineStr">
        <is>
          <t>For review</t>
        </is>
      </c>
      <c r="F23" s="3" t="inlineStr">
        <is>
          <t>BSA &amp; BSAIS Outputs/Sample Syllabus and /Drafts for Review</t>
        </is>
      </c>
    </row>
    <row r="24"/>
    <row r="25">
      <c r="A25" s="35" t="inlineStr">
        <is>
          <t>Outputs recorded</t>
        </is>
      </c>
      <c r="B25" s="15">
        <f>COUNTA($B$5:$B$23)</f>
        <v/>
      </c>
    </row>
    <row r="26">
      <c r="A26" s="26" t="inlineStr">
        <is>
          <t>Add new rows directly beneath row 23; the count above uses a fixed range, so widen it when you do.</t>
        </is>
      </c>
    </row>
    <row r="27"/>
    <row r="28"/>
    <row r="29"/>
    <row r="30"/>
    <row r="31"/>
  </sheetData>
  <mergeCells count="2">
    <mergeCell ref="A2:F2"/>
    <mergeCell ref="A1:F1"/>
  </mergeCells>
  <conditionalFormatting sqref="E5:E11">
    <cfRule type="expression" priority="2" dxfId="2">
      <formula>$E5="Done"</formula>
    </cfRule>
    <cfRule type="expression" priority="3" dxfId="1">
      <formula>$E5="In progress"</formula>
    </cfRule>
    <cfRule type="expression" priority="4" dxfId="0">
      <formula>$E5="For review"</formula>
    </cfRule>
  </conditionalFormatting>
  <dataValidations count="1">
    <dataValidation sqref="E5:E41" showDropDown="0" showInputMessage="0" showErrorMessage="0" allowBlank="1" type="list">
      <formula1>"Not started,In progress,For review,Done"</formula1>
      <formula2>0</formula2>
    </dataValidation>
  </dataValidations>
  <pageMargins left="0.75" right="0.75" top="1" bottom="1" header="0.511811023622047" footer="0.511811023622047"/>
  <pageSetup orientation="landscape"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2026-09-03T08:23:57Z</dcterms:created>
  <dcterms:modified xmlns:dcterms="http://purl.org/dc/terms/" xmlns:xsi="http://www.w3.org/2001/XMLSchema-instance" xsi:type="dcterms:W3CDTF">2026-10-26T06:23:16Z</dcterms:modified>
  <cp:lastModifiedBy>Ken Gie Anthony Cruel</cp:lastModifiedBy>
  <cp:revision>0</cp:revision>
</cp:coreProperties>
</file>