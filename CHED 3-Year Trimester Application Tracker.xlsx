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8000" tabRatio="500" firstSheet="0" activeTab="0" autoFilterDateGrouping="1"/>
  </bookViews>
  <sheets>
    <sheet xmlns:r="http://schemas.openxmlformats.org/officeDocument/2006/relationships" name="Tracker" sheetId="1" state="visible" r:id="rId1"/>
    <sheet xmlns:r="http://schemas.openxmlformats.org/officeDocument/2006/relationships" name="Assignments" sheetId="2" state="visible" r:id="rId2"/>
    <sheet xmlns:r="http://schemas.openxmlformats.org/officeDocument/2006/relationships" name="Reference" sheetId="3" state="visible" r:id="rId3"/>
    <sheet xmlns:r="http://schemas.openxmlformats.org/officeDocument/2006/relationships" name="Faculty" sheetId="4" state="visible" r:id="rId4"/>
    <sheet xmlns:r="http://schemas.openxmlformats.org/officeDocument/2006/relationships" name="My Outputs" sheetId="5" state="visible" r:id="rId5"/>
  </sheets>
  <definedNames>
    <definedName name="_xlnm._FilterDatabase" localSheetId="0" hidden="1">'Tracker'!$A$4:$I$83</definedName>
    <definedName name="_xlnm.Print_Titles" localSheetId="0">'Tracker'!$4:$4</definedName>
    <definedName name="_xlnm._FilterDatabase" localSheetId="1" hidden="1">'Assignments'!$A$4:$E$52</definedName>
    <definedName name="_xlnm._FilterDatabase" localSheetId="3" hidden="1">'Faculty'!$A$4:$J$59</definedName>
  </definedNames>
  <calcPr calcId="191029" fullCalcOnLoad="1" iterateDelta="0.0001"/>
</workbook>
</file>

<file path=xl/styles.xml><?xml version="1.0" encoding="utf-8"?>
<styleSheet xmlns="http://schemas.openxmlformats.org/spreadsheetml/2006/main">
  <numFmts count="1">
    <numFmt numFmtId="164" formatCode="dd\-mmm\-yyyy"/>
  </numFmts>
  <fonts count="7">
    <font>
      <name val="Calibri"/>
      <charset val="1"/>
      <family val="2"/>
      <color theme="1"/>
      <sz val="11"/>
    </font>
    <font>
      <name val="Arial"/>
      <family val="2"/>
      <b val="1"/>
      <color rgb="FF1F3864"/>
      <sz val="13"/>
    </font>
    <font>
      <name val="Arial"/>
      <family val="2"/>
      <i val="1"/>
      <color rgb="FF595959"/>
      <sz val="9"/>
    </font>
    <font>
      <name val="Arial"/>
      <family val="2"/>
      <b val="1"/>
      <color rgb="FFFFFFFF"/>
      <sz val="10"/>
    </font>
    <font>
      <name val="Arial"/>
      <family val="2"/>
      <b val="1"/>
      <color rgb="FF1F3864"/>
      <sz val="10"/>
    </font>
    <font>
      <name val="Arial"/>
      <family val="2"/>
      <sz val="10"/>
    </font>
    <font>
      <name val="Arial"/>
      <family val="2"/>
      <b val="1"/>
      <sz val="10"/>
    </font>
  </fonts>
  <fills count="8">
    <fill>
      <patternFill/>
    </fill>
    <fill>
      <patternFill patternType="gray125"/>
    </fill>
    <fill>
      <patternFill patternType="solid">
        <fgColor rgb="FF1F3864"/>
        <bgColor rgb="FF333399"/>
      </patternFill>
    </fill>
    <fill>
      <patternFill patternType="solid">
        <fgColor rgb="FFD9E2F3"/>
        <bgColor rgb="FFEDF3FB"/>
      </patternFill>
    </fill>
    <fill>
      <patternFill patternType="solid">
        <fgColor rgb="FFFFF2CC"/>
        <bgColor rgb="FFFCE4D6"/>
      </patternFill>
    </fill>
    <fill>
      <patternFill patternType="solid">
        <fgColor rgb="FFEDF3FB"/>
        <bgColor rgb="FFF2F2F2"/>
      </patternFill>
    </fill>
    <fill>
      <patternFill patternType="solid">
        <fgColor rgb="FFFCE4D6"/>
        <bgColor rgb="FFFFF2CC"/>
      </patternFill>
    </fill>
    <fill>
      <patternFill patternType="solid">
        <fgColor rgb="FFF2F2F2"/>
        <bgColor rgb="FFEDF3FB"/>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36">
    <xf numFmtId="0" fontId="0" fillId="0" borderId="0" pivotButton="0" quotePrefix="0" xfId="0"/>
    <xf numFmtId="0" fontId="3" fillId="2" borderId="1" applyAlignment="1" pivotButton="0" quotePrefix="0" xfId="0">
      <alignment horizontal="center" vertical="center" wrapText="1"/>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horizontal="center" vertical="top"/>
    </xf>
    <xf numFmtId="0" fontId="5" fillId="4" borderId="1" applyAlignment="1" pivotButton="0" quotePrefix="0" xfId="0">
      <alignment horizontal="center" vertical="top"/>
    </xf>
    <xf numFmtId="9" fontId="5" fillId="4" borderId="1" applyAlignment="1" pivotButton="0" quotePrefix="0" xfId="0">
      <alignment horizontal="center" vertical="top"/>
    </xf>
    <xf numFmtId="0" fontId="5" fillId="4" borderId="1" applyAlignment="1" pivotButton="0" quotePrefix="0" xfId="0">
      <alignment vertical="top" wrapText="1"/>
    </xf>
    <xf numFmtId="0" fontId="5" fillId="5" borderId="1" applyAlignment="1" pivotButton="0" quotePrefix="0" xfId="0">
      <alignment vertical="top" wrapText="1"/>
    </xf>
    <xf numFmtId="164" fontId="5" fillId="5" borderId="1" applyAlignment="1" pivotButton="0" quotePrefix="0" xfId="0">
      <alignment horizontal="center" vertical="top"/>
    </xf>
    <xf numFmtId="0" fontId="5" fillId="6" borderId="1" applyAlignment="1" pivotButton="0" quotePrefix="0" xfId="0">
      <alignment vertical="top" wrapText="1"/>
    </xf>
    <xf numFmtId="164" fontId="5" fillId="6" borderId="1" applyAlignment="1" pivotButton="0" quotePrefix="0" xfId="0">
      <alignment horizontal="center" vertical="top"/>
    </xf>
    <xf numFmtId="0" fontId="5" fillId="7" borderId="1" applyAlignment="1" pivotButton="0" quotePrefix="0" xfId="0">
      <alignment vertical="top" wrapText="1"/>
    </xf>
    <xf numFmtId="164" fontId="5" fillId="7" borderId="1" applyAlignment="1" pivotButton="0" quotePrefix="0" xfId="0">
      <alignment horizontal="center" vertical="top"/>
    </xf>
    <xf numFmtId="0" fontId="6" fillId="0" borderId="0" pivotButton="0" quotePrefix="0" xfId="0"/>
    <xf numFmtId="0" fontId="4" fillId="0" borderId="0" pivotButton="0" quotePrefix="0" xfId="0"/>
    <xf numFmtId="0" fontId="3" fillId="2" borderId="1" applyAlignment="1" pivotButton="0" quotePrefix="0" xfId="0">
      <alignment horizontal="center" vertical="center"/>
    </xf>
    <xf numFmtId="0" fontId="6" fillId="0" borderId="1" applyAlignment="1" pivotButton="0" quotePrefix="0" xfId="0">
      <alignment vertical="top" wrapText="1"/>
    </xf>
    <xf numFmtId="0" fontId="6" fillId="0" borderId="1" pivotButton="0" quotePrefix="0" xfId="0"/>
    <xf numFmtId="1" fontId="5" fillId="0" borderId="1" pivotButton="0" quotePrefix="0" xfId="0"/>
    <xf numFmtId="9" fontId="5" fillId="0" borderId="1" pivotButton="0" quotePrefix="0" xfId="0"/>
    <xf numFmtId="0" fontId="5" fillId="0" borderId="1" applyAlignment="1" pivotButton="0" quotePrefix="0" xfId="0">
      <alignment vertical="top"/>
    </xf>
    <xf numFmtId="0" fontId="5" fillId="7" borderId="1" applyAlignment="1" pivotButton="0" quotePrefix="0" xfId="0">
      <alignment horizontal="center" vertical="top"/>
    </xf>
    <xf numFmtId="0" fontId="5" fillId="7" borderId="1" applyAlignment="1" pivotButton="0" quotePrefix="0" xfId="0">
      <alignment vertical="top"/>
    </xf>
    <xf numFmtId="0" fontId="5" fillId="6" borderId="1" applyAlignment="1" pivotButton="0" quotePrefix="0" xfId="0">
      <alignment horizontal="center" vertical="top"/>
    </xf>
    <xf numFmtId="0" fontId="5" fillId="6" borderId="1" applyAlignment="1" pivotButton="0" quotePrefix="0" xfId="0">
      <alignment vertical="top"/>
    </xf>
    <xf numFmtId="0" fontId="2" fillId="0" borderId="0" pivotButton="0" quotePrefix="0" xfId="0"/>
    <xf numFmtId="0" fontId="4" fillId="3" borderId="1" pivotButton="0" quotePrefix="0" xfId="0"/>
    <xf numFmtId="0" fontId="0" fillId="0" borderId="2" pivotButton="0" quotePrefix="0" xfId="0"/>
    <xf numFmtId="0" fontId="0" fillId="0" borderId="3" pivotButton="0" quotePrefix="0" xfId="0"/>
    <xf numFmtId="0" fontId="2" fillId="0" borderId="0" applyAlignment="1" pivotButton="0" quotePrefix="0" xfId="0">
      <alignment vertical="center" wrapText="1"/>
    </xf>
    <xf numFmtId="0" fontId="0" fillId="0" borderId="0" pivotButton="0" quotePrefix="0" xfId="0"/>
    <xf numFmtId="0" fontId="1" fillId="0" borderId="0" pivotButton="0" quotePrefix="0" xfId="0"/>
    <xf numFmtId="0" fontId="4" fillId="7" borderId="1" pivotButton="0" quotePrefix="0" xfId="0"/>
    <xf numFmtId="0" fontId="4" fillId="6" borderId="1" pivotButton="0" quotePrefix="0" xfId="0"/>
    <xf numFmtId="0" fontId="6" fillId="0" borderId="0" pivotButton="0" quotePrefix="0" xfId="0"/>
  </cellXfs>
  <cellStyles count="1">
    <cellStyle name="Normal" xfId="0" builtinId="0"/>
  </cellStyles>
  <dxfs count="8">
    <dxf>
      <font>
        <name val="Arial"/>
        <charset val="1"/>
        <color rgb="FF1F3864"/>
        <sz val="10"/>
      </font>
      <fill>
        <patternFill>
          <bgColor rgb="FFBDD7EE"/>
        </patternFill>
      </fill>
    </dxf>
    <dxf>
      <font>
        <name val="Arial"/>
        <charset val="1"/>
        <color rgb="FF7F6000"/>
        <sz val="10"/>
      </font>
      <fill>
        <patternFill>
          <bgColor rgb="FFFFE699"/>
        </patternFill>
      </fill>
    </dxf>
    <dxf>
      <font>
        <name val="Arial"/>
        <charset val="1"/>
        <b val="1"/>
        <color rgb="FF375623"/>
        <sz val="10"/>
      </font>
      <fill>
        <patternFill>
          <bgColor rgb="FFC6E0B4"/>
        </patternFill>
      </fill>
    </dxf>
    <dxf>
      <font>
        <name val="Arial"/>
        <charset val="1"/>
        <color rgb="FF7F6000"/>
        <sz val="10"/>
      </font>
      <fill>
        <patternFill>
          <bgColor rgb="FFFFE699"/>
        </patternFill>
      </fill>
    </dxf>
    <dxf>
      <font>
        <name val="Arial"/>
        <charset val="1"/>
        <color rgb="FF1F3864"/>
        <sz val="10"/>
      </font>
      <fill>
        <patternFill>
          <bgColor rgb="FFBDD7EE"/>
        </patternFill>
      </fill>
    </dxf>
    <dxf>
      <font>
        <name val="Arial"/>
        <charset val="1"/>
        <b val="1"/>
        <color rgb="FF375623"/>
        <sz val="10"/>
      </font>
      <fill>
        <patternFill>
          <bgColor rgb="FFC6E0B4"/>
        </patternFill>
      </fill>
    </dxf>
    <dxf>
      <fill>
        <patternFill>
          <bgColor rgb="FFFFE699"/>
        </patternFill>
      </fill>
    </dxf>
    <dxf>
      <font>
        <name val="Arial"/>
        <charset val="1"/>
        <color rgb="FF9C0006"/>
        <sz val="10"/>
      </font>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F3FB"/>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C6E0B4"/>
      <rgbColor rgb="FFFFE699"/>
      <rgbColor rgb="FFD9E2F3"/>
      <rgbColor rgb="FFFCE4D6"/>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83"/>
  <sheetViews>
    <sheetView tabSelected="1" zoomScaleNormal="100" workbookViewId="0">
      <pane ySplit="4" topLeftCell="A5" activePane="bottomLeft" state="frozen"/>
      <selection pane="bottomLeft" activeCell="G6" sqref="G6"/>
    </sheetView>
  </sheetViews>
  <sheetFormatPr baseColWidth="10" defaultColWidth="8.6640625" defaultRowHeight="15"/>
  <cols>
    <col width="5" customWidth="1" style="31" min="1" max="1"/>
    <col width="52" customWidth="1" style="31" min="2" max="2"/>
    <col width="19" customWidth="1" style="31" min="3" max="3"/>
    <col width="26" customWidth="1" style="31" min="4" max="4"/>
    <col width="30" customWidth="1" style="31" min="5" max="5"/>
    <col width="13" customWidth="1" style="31" min="6" max="7"/>
    <col width="7" customWidth="1" style="31" min="8" max="8"/>
    <col width="46" customWidth="1" style="31" min="9" max="9"/>
  </cols>
  <sheetData>
    <row r="1" ht="16.25" customHeight="1" s="31">
      <c r="A1" s="32" t="inlineStr">
        <is>
          <t>HOLY CROSS COLLEGE STA. ROSA, N.E., INC. — CHED 3-YEAR TRIMESTER APPLICATION — PROGRESS TRACKER</t>
        </is>
      </c>
    </row>
    <row r="2" ht="25.5" customHeight="1" s="31">
      <c r="A2" s="30" t="inlineStr">
        <is>
          <t>Requirements taken from the Preliminary Requirement checklist held by the Office of Academic Affairs. Target filing with CHED Region III: 13 November 2026 (Council Resolution 2026-08-03). Yellow cells are for you to update: Status, % and Notes.</t>
        </is>
      </c>
    </row>
    <row r="3"/>
    <row r="4" ht="30" customHeight="1" s="31">
      <c r="A4" s="1" t="inlineStr">
        <is>
          <t>#</t>
        </is>
      </c>
      <c r="B4" s="1" t="inlineStr">
        <is>
          <t>Requirement</t>
        </is>
      </c>
      <c r="C4" s="1" t="inlineStr">
        <is>
          <t>CHED reference</t>
        </is>
      </c>
      <c r="D4" s="1" t="inlineStr">
        <is>
          <t>Owner</t>
        </is>
      </c>
      <c r="E4" s="1" t="inlineStr">
        <is>
          <t>Support</t>
        </is>
      </c>
      <c r="F4" s="1" t="inlineStr">
        <is>
          <t>Due date</t>
        </is>
      </c>
      <c r="G4" s="1" t="inlineStr">
        <is>
          <t>Status</t>
        </is>
      </c>
      <c r="H4" s="1" t="inlineStr">
        <is>
          <t>%</t>
        </is>
      </c>
      <c r="I4" s="1" t="inlineStr">
        <is>
          <t>Notes</t>
        </is>
      </c>
    </row>
    <row r="5" ht="15" customHeight="1" s="31">
      <c r="A5" s="27" t="inlineStr">
        <is>
          <t>AREA A — GOVERNANCE &amp; SUBMISSION</t>
        </is>
      </c>
      <c r="B5" s="28" t="n"/>
      <c r="C5" s="28" t="n"/>
      <c r="D5" s="28" t="n"/>
      <c r="E5" s="28" t="n"/>
      <c r="F5" s="28" t="n"/>
      <c r="G5" s="28" t="n"/>
      <c r="H5" s="28" t="n"/>
      <c r="I5" s="29" t="n"/>
    </row>
    <row r="6" ht="113.5" customHeight="1" s="31">
      <c r="A6" s="2" t="n">
        <v>1</v>
      </c>
      <c r="B6" s="3" t="inlineStr">
        <is>
          <t>Transmittal letter to CHED, with copy of the Council of Program Chairs Minutes approving the offering of the new program</t>
        </is>
      </c>
      <c r="C6" s="3" t="inlineStr">
        <is>
          <t>Checklist item 1</t>
        </is>
      </c>
      <c r="D6" s="3" t="inlineStr">
        <is>
          <t>MIS Head Jayson R. Francisco</t>
        </is>
      </c>
      <c r="E6" s="3" t="inlineStr">
        <is>
          <t>Vice Dean Ken Gie Anthony G. Cruel (drafted both documents); VPAA Sta. Ines (signatory)</t>
        </is>
      </c>
      <c r="F6" s="4" t="n">
        <v>46277</v>
      </c>
      <c r="G6" s="5" t="inlineStr">
        <is>
          <t>For review</t>
        </is>
      </c>
      <c r="H6" s="6" t="n">
        <v>1</v>
      </c>
      <c r="I6" s="7" t="inlineStr">
        <is>
          <t>Transmittal letter accomplished and Minutes of the 27 Aug 2026 special meeting drafted by the Vice Dean, routed for signing (Res. 2026-08-01, -02, -03). Ownership transferred to the MIS Head on 3 Sep 2026 by direction of the Vice Dean. SIGNATORY CHECK: the CHED Region III Citizen's Charter requires the application letter to be signed by the Chairman of the Board of Trustees or the President, or an authorised representative — not by the VPAA. Confirm who signs before the letter is finalised.</t>
        </is>
      </c>
    </row>
    <row r="7" ht="91" customHeight="1" s="31">
      <c r="A7" s="2" t="n">
        <v>2</v>
      </c>
      <c r="B7" s="3" t="inlineStr">
        <is>
          <t>CHED Program Evaluation — self-evaluation compilation against each programme's CHED Policies, Standards and Guidelines (PSG)</t>
        </is>
      </c>
      <c r="C7" s="3" t="inlineStr">
        <is>
          <t>Checklist item 2</t>
        </is>
      </c>
      <c r="D7" s="3" t="inlineStr">
        <is>
          <t>Vice Dean Ken Gie Anthony G. Cruel</t>
        </is>
      </c>
      <c r="E7" s="3" t="inlineStr">
        <is>
          <t>All 8 Program Chairs (one PSG comparison each)</t>
        </is>
      </c>
      <c r="F7" s="4" t="n">
        <v>46318</v>
      </c>
      <c r="G7" s="5" t="inlineStr">
        <is>
          <t>Not started</t>
        </is>
      </c>
      <c r="H7" s="6" t="n">
        <v>0</v>
      </c>
      <c r="I7" s="7" t="inlineStr">
        <is>
          <t>RESOLVED 3 Sep 2026: there is no prescribed CHED form. It is a compilation the college prepares against each programme's PSG. Corroborated by the CHED Region III Citizen's Charter, which requires a duly accomplished self-evaluation form per programme on submission. Each of the 8 Chairs supplies their own programme's PSG comparison; the Vice Dean consolidates.</t>
        </is>
      </c>
    </row>
    <row r="8" ht="15" customHeight="1" s="31">
      <c r="A8" s="27" t="inlineStr">
        <is>
          <t>AREA B — INSTITUTIONAL FEASIBILITY (Feasibility study for trimestral calendar)</t>
        </is>
      </c>
      <c r="B8" s="28" t="n"/>
      <c r="C8" s="28" t="n"/>
      <c r="D8" s="28" t="n"/>
      <c r="E8" s="28" t="n"/>
      <c r="F8" s="28" t="n"/>
      <c r="G8" s="28" t="n"/>
      <c r="H8" s="28" t="n"/>
      <c r="I8" s="29" t="n"/>
    </row>
    <row r="9" ht="23.75" customHeight="1" s="31">
      <c r="A9" s="2" t="n">
        <v>3</v>
      </c>
      <c r="B9" s="3" t="inlineStr">
        <is>
          <t>Philosophy and goals of the program</t>
        </is>
      </c>
      <c r="C9" s="3" t="inlineStr">
        <is>
          <t>Checklist item 3.1</t>
        </is>
      </c>
      <c r="D9" s="3" t="inlineStr">
        <is>
          <t>Vice Dean Ken Gie Anthony G. Cruel</t>
        </is>
      </c>
      <c r="E9" s="3" t="inlineStr">
        <is>
          <t>VPAA Sta. Ines</t>
        </is>
      </c>
      <c r="F9" s="4" t="n">
        <v>46295</v>
      </c>
      <c r="G9" s="5" t="inlineStr">
        <is>
          <t>Not started</t>
        </is>
      </c>
      <c r="H9" s="6" t="n">
        <v>0</v>
      </c>
      <c r="I9" s="7" t="n"/>
    </row>
    <row r="10" ht="35" customHeight="1" s="31">
      <c r="A10" s="2" t="n">
        <v>4</v>
      </c>
      <c r="B10" s="3" t="inlineStr">
        <is>
          <t>Viability — demand for the graduates</t>
        </is>
      </c>
      <c r="C10" s="3" t="inlineStr">
        <is>
          <t>Checklist item 3.2.1</t>
        </is>
      </c>
      <c r="D10" s="3" t="inlineStr">
        <is>
          <t>MIS Head Jayson R. Francisco</t>
        </is>
      </c>
      <c r="E10" s="3" t="inlineStr">
        <is>
          <t>All Program Chairs; Feasibility &amp; Market Study Committee — full-time faculty, one per department</t>
        </is>
      </c>
      <c r="F10" s="4" t="n">
        <v>46304</v>
      </c>
      <c r="G10" s="5" t="inlineStr">
        <is>
          <t>Not started</t>
        </is>
      </c>
      <c r="H10" s="6" t="n">
        <v>0</v>
      </c>
      <c r="I10" s="7" t="inlineStr">
        <is>
          <t>Phase 2 of the project plan assigns market demand data gathering to MIS with the Chairs.</t>
        </is>
      </c>
    </row>
    <row r="11" ht="46.25" customHeight="1" s="31">
      <c r="A11" s="2" t="n">
        <v>5</v>
      </c>
      <c r="B11" s="3" t="inlineStr">
        <is>
          <t>Viability — prospective students</t>
        </is>
      </c>
      <c r="C11" s="3" t="inlineStr">
        <is>
          <t>Checklist item 3.2.2</t>
        </is>
      </c>
      <c r="D11" s="3" t="inlineStr">
        <is>
          <t>MIS Head Jayson R. Francisco</t>
        </is>
      </c>
      <c r="E11" s="3" t="inlineStr">
        <is>
          <t>Registrar Laila D. Sarmiento; Feasibility &amp; Market Study Committee — full-time faculty, one per department</t>
        </is>
      </c>
      <c r="F11" s="4" t="n">
        <v>46304</v>
      </c>
      <c r="G11" s="5" t="inlineStr">
        <is>
          <t>Not started</t>
        </is>
      </c>
      <c r="H11" s="6" t="n">
        <v>0</v>
      </c>
      <c r="I11" s="7" t="n"/>
    </row>
    <row r="12" ht="35" customHeight="1" s="31">
      <c r="A12" s="2" t="n">
        <v>6</v>
      </c>
      <c r="B12" s="3" t="inlineStr">
        <is>
          <t>Viability — existing schools offering the same program within the area</t>
        </is>
      </c>
      <c r="C12" s="3" t="inlineStr">
        <is>
          <t>Checklist item 3.2.3</t>
        </is>
      </c>
      <c r="D12" s="3" t="inlineStr">
        <is>
          <t>MIS Head Jayson R. Francisco</t>
        </is>
      </c>
      <c r="E12" s="3" t="inlineStr">
        <is>
          <t>All Program Chairs; Feasibility &amp; Market Study Committee — full-time faculty, one per department</t>
        </is>
      </c>
      <c r="F12" s="4" t="n">
        <v>46304</v>
      </c>
      <c r="G12" s="5" t="inlineStr">
        <is>
          <t>Not started</t>
        </is>
      </c>
      <c r="H12" s="6" t="n">
        <v>0</v>
      </c>
      <c r="I12" s="7" t="n"/>
    </row>
    <row r="13" ht="23.75" customHeight="1" s="31">
      <c r="A13" s="2" t="n">
        <v>7</v>
      </c>
      <c r="B13" s="3" t="inlineStr">
        <is>
          <t>Location of the school in relation to factors that are not conducive to learning</t>
        </is>
      </c>
      <c r="C13" s="3" t="inlineStr">
        <is>
          <t>Checklist item 3.3</t>
        </is>
      </c>
      <c r="D13" s="3" t="inlineStr">
        <is>
          <t>VPAA / VP Admin &amp; Finance Dr. Raquel T. Sta. Ines</t>
        </is>
      </c>
      <c r="E13" s="3" t="inlineStr">
        <is>
          <t>MIS Head Jayson R. Francisco</t>
        </is>
      </c>
      <c r="F13" s="4" t="n">
        <v>46304</v>
      </c>
      <c r="G13" s="5" t="inlineStr">
        <is>
          <t>Not started</t>
        </is>
      </c>
      <c r="H13" s="6" t="n">
        <v>0</v>
      </c>
      <c r="I13" s="7" t="inlineStr">
        <is>
          <t>The VPAA also serves as VP for Administration and Finance, so this sits with her office.</t>
        </is>
      </c>
    </row>
    <row r="14" ht="23.75" customHeight="1" s="31">
      <c r="A14" s="2" t="n">
        <v>8</v>
      </c>
      <c r="B14" s="3" t="inlineStr">
        <is>
          <t>Schedule of tuition and other fees (trimestral)</t>
        </is>
      </c>
      <c r="C14" s="3" t="inlineStr">
        <is>
          <t>Checklist item 3.4</t>
        </is>
      </c>
      <c r="D14" s="3" t="inlineStr">
        <is>
          <t>Finance Officer Dana Marcelo</t>
        </is>
      </c>
      <c r="E14" s="3" t="inlineStr">
        <is>
          <t>Vice Dean Ken Gie Anthony G. Cruel</t>
        </is>
      </c>
      <c r="F14" s="4" t="n">
        <v>46318</v>
      </c>
      <c r="G14" s="5" t="inlineStr">
        <is>
          <t>Not started</t>
        </is>
      </c>
      <c r="H14" s="6" t="n">
        <v>0</v>
      </c>
      <c r="I14" s="7" t="inlineStr">
        <is>
          <t>Phase 1 of the project plan calls for the trimestral fee distribution model to be initiated.</t>
        </is>
      </c>
    </row>
    <row r="15" ht="15" customHeight="1" s="31">
      <c r="A15" s="27" t="inlineStr">
        <is>
          <t>AREA C — ADMINISTRATORS, FACULTY &amp; NON-TEACHING PERSONNEL</t>
        </is>
      </c>
      <c r="B15" s="28" t="n"/>
      <c r="C15" s="28" t="n"/>
      <c r="D15" s="28" t="n"/>
      <c r="E15" s="28" t="n"/>
      <c r="F15" s="28" t="n"/>
      <c r="G15" s="28" t="n"/>
      <c r="H15" s="28" t="n"/>
      <c r="I15" s="29" t="n"/>
    </row>
    <row r="16" ht="46.25" customHeight="1" s="31">
      <c r="A16" s="2" t="n">
        <v>9</v>
      </c>
      <c r="B16" s="3" t="inlineStr">
        <is>
          <t>School administrator spreadsheet — name, educational qualifications (where and when obtained), position/designation, nature of appointment, status, rate of monthly salary, other benefits</t>
        </is>
      </c>
      <c r="C16" s="3" t="inlineStr">
        <is>
          <t>Checklist item 4.1</t>
        </is>
      </c>
      <c r="D16" s="3" t="inlineStr">
        <is>
          <t>HR Officer Ellarein Richelle Dela Cruz</t>
        </is>
      </c>
      <c r="E16" s="3" t="inlineStr">
        <is>
          <t>Vice Dean Ken Gie Anthony G. Cruel</t>
        </is>
      </c>
      <c r="F16" s="4" t="n">
        <v>46318</v>
      </c>
      <c r="G16" s="5" t="inlineStr">
        <is>
          <t>Not started</t>
        </is>
      </c>
      <c r="H16" s="6" t="n">
        <v>0</v>
      </c>
      <c r="I16" s="7" t="n"/>
    </row>
    <row r="17" ht="35" customHeight="1" s="31">
      <c r="A17" s="2" t="n">
        <v>10</v>
      </c>
      <c r="B17" s="3" t="inlineStr">
        <is>
          <t>School administrator — certified true copy of Transcript of Records, and appointment / notarized contract of employment / letter of commitment with confirmation</t>
        </is>
      </c>
      <c r="C17" s="3" t="inlineStr">
        <is>
          <t>Checklist item 4.2</t>
        </is>
      </c>
      <c r="D17" s="3" t="inlineStr">
        <is>
          <t>HR Officer Ellarein Richelle Dela Cruz</t>
        </is>
      </c>
      <c r="E17" s="3" t="inlineStr">
        <is>
          <t>VPAA / VP Admin &amp; Finance Dr. Raquel T. Sta. Ines</t>
        </is>
      </c>
      <c r="F17" s="4" t="n">
        <v>46325</v>
      </c>
      <c r="G17" s="5" t="inlineStr">
        <is>
          <t>Not started</t>
        </is>
      </c>
      <c r="H17" s="6" t="n">
        <v>0</v>
      </c>
      <c r="I17" s="7" t="n"/>
    </row>
    <row r="18" ht="46.25" customHeight="1" s="31">
      <c r="A18" s="2" t="n">
        <v>11</v>
      </c>
      <c r="B18" s="3" t="inlineStr">
        <is>
          <t>Faculty spreadsheet (general education and major courses) — name, educational qualifications, field of specialization, course assignment, nature of appointment, status, rate of monthly salary, other benefits</t>
        </is>
      </c>
      <c r="C18" s="3" t="inlineStr">
        <is>
          <t>Checklist item 5.1</t>
        </is>
      </c>
      <c r="D18" s="3" t="inlineStr">
        <is>
          <t>HR Officer Ellarein Richelle Dela Cruz</t>
        </is>
      </c>
      <c r="E18" s="3" t="inlineStr">
        <is>
          <t>All 8 Program Chairs (specialization and course assignment)</t>
        </is>
      </c>
      <c r="F18" s="4" t="n">
        <v>46318</v>
      </c>
      <c r="G18" s="5" t="inlineStr">
        <is>
          <t>Not started</t>
        </is>
      </c>
      <c r="H18" s="6" t="n">
        <v>0</v>
      </c>
      <c r="I18" s="7" t="inlineStr">
        <is>
          <t>Phase 1 of the project plan has HR issuing the call-out for faculty certified true copy Transcripts of Record.</t>
        </is>
      </c>
    </row>
    <row r="19" ht="23.75" customHeight="1" s="31">
      <c r="A19" s="2" t="n">
        <v>12</v>
      </c>
      <c r="B19" s="3" t="inlineStr">
        <is>
          <t>Faculty — certified true copies of Transcripts of Record</t>
        </is>
      </c>
      <c r="C19" s="3" t="inlineStr">
        <is>
          <t>Checklist item 5.2</t>
        </is>
      </c>
      <c r="D19" s="3" t="inlineStr">
        <is>
          <t>HR Officer Ellarein Richelle Dela Cruz</t>
        </is>
      </c>
      <c r="E19" s="3" t="inlineStr">
        <is>
          <t>All 8 Program Chairs</t>
        </is>
      </c>
      <c r="F19" s="4" t="n">
        <v>46325</v>
      </c>
      <c r="G19" s="5" t="inlineStr">
        <is>
          <t>Not started</t>
        </is>
      </c>
      <c r="H19" s="6" t="n">
        <v>0</v>
      </c>
      <c r="I19" s="7" t="n"/>
    </row>
    <row r="20" ht="23.75" customHeight="1" s="31">
      <c r="A20" s="2" t="n">
        <v>13</v>
      </c>
      <c r="B20" s="3" t="inlineStr">
        <is>
          <t>Faculty — appointment / notarized contract of employment / letter of commitment with confirmation</t>
        </is>
      </c>
      <c r="C20" s="3" t="inlineStr">
        <is>
          <t>Checklist item 5.3</t>
        </is>
      </c>
      <c r="D20" s="3" t="inlineStr">
        <is>
          <t>HR Officer Ellarein Richelle Dela Cruz</t>
        </is>
      </c>
      <c r="E20" s="3" t="inlineStr">
        <is>
          <t>VPAA Sta. Ines</t>
        </is>
      </c>
      <c r="F20" s="4" t="n">
        <v>46325</v>
      </c>
      <c r="G20" s="5" t="inlineStr">
        <is>
          <t>Not started</t>
        </is>
      </c>
      <c r="H20" s="6" t="n">
        <v>0</v>
      </c>
      <c r="I20" s="7" t="n"/>
    </row>
    <row r="21" ht="35" customHeight="1" s="31">
      <c r="A21" s="2" t="n">
        <v>14</v>
      </c>
      <c r="B21" s="3" t="inlineStr">
        <is>
          <t>List of non-teaching personnel</t>
        </is>
      </c>
      <c r="C21" s="3" t="inlineStr">
        <is>
          <t>Checklist item 6</t>
        </is>
      </c>
      <c r="D21" s="3" t="inlineStr">
        <is>
          <t>VPAA / VP Admin &amp; Finance Dr. Raquel T. Sta. Ines</t>
        </is>
      </c>
      <c r="E21" s="3" t="inlineStr">
        <is>
          <t>HR Officer Ellarein Richelle Dela Cruz</t>
        </is>
      </c>
      <c r="F21" s="4" t="n">
        <v>46318</v>
      </c>
      <c r="G21" s="5" t="inlineStr">
        <is>
          <t>Not started</t>
        </is>
      </c>
      <c r="H21" s="6" t="n">
        <v>0</v>
      </c>
      <c r="I21" s="7" t="inlineStr">
        <is>
          <t>Checklist assigns this to Admin. There is no separate Admin Office Head — the VPAA holds the VP for Administration and Finance portfolio.</t>
        </is>
      </c>
    </row>
    <row r="22" ht="15" customHeight="1" s="31">
      <c r="A22" s="27" t="inlineStr">
        <is>
          <t>AREA D — CURRICULUM (per program)</t>
        </is>
      </c>
      <c r="B22" s="28" t="n"/>
      <c r="C22" s="28" t="n"/>
      <c r="D22" s="28" t="n"/>
      <c r="E22" s="28" t="n"/>
      <c r="F22" s="28" t="n"/>
      <c r="G22" s="28" t="n"/>
      <c r="H22" s="28" t="n"/>
      <c r="I22" s="29" t="n"/>
    </row>
    <row r="23" ht="91" customHeight="1" s="31">
      <c r="A23" s="2" t="n">
        <v>15</v>
      </c>
      <c r="B23" s="3" t="inlineStr">
        <is>
          <t>Curriculum — distribution of courses per trimester (9-term prospectus), BSA</t>
        </is>
      </c>
      <c r="C23" s="3" t="inlineStr">
        <is>
          <t>Checklist item 7.1</t>
        </is>
      </c>
      <c r="D23" s="3" t="inlineStr">
        <is>
          <t>Vice Dean Ken Gie Anthony G. Cruel</t>
        </is>
      </c>
      <c r="E23" s="3" t="inlineStr">
        <is>
          <t>Vice Dean Ken Gie Anthony G. Cruel (compliance audit); MIS Head Jayson R. Francisco (repository)</t>
        </is>
      </c>
      <c r="F23" s="4" t="n">
        <v>46290</v>
      </c>
      <c r="G23" s="5" t="inlineStr">
        <is>
          <t>For review</t>
        </is>
      </c>
      <c r="H23" s="6" t="n">
        <v>1</v>
      </c>
      <c r="I23" s="7" t="inlineStr">
        <is>
          <t>Draft 9-trimester prospectus prepared by the Vice Dean — 191 total units across 9 terms. Must be recast onto the agreed template (see Reference): Course Code, Course Title, Lec Hrs, Lab Hrs, Total Hrs, Credit Units, Prerequisite(s), with a sub-total per trimester and the programme's own PSG cited in the header. Programme Chairs agreed in principle on a 14-week term (not yet final) — see Open Item 1.</t>
        </is>
      </c>
    </row>
    <row r="24" ht="57.5" customHeight="1" s="31">
      <c r="A24" s="2" t="n">
        <v>16</v>
      </c>
      <c r="B24" s="3" t="inlineStr">
        <is>
          <t>Curriculum — summary of units, BSA</t>
        </is>
      </c>
      <c r="C24" s="3" t="inlineStr">
        <is>
          <t>Checklist item 7.2</t>
        </is>
      </c>
      <c r="D24" s="3" t="inlineStr">
        <is>
          <t>Vice Dean Ken Gie Anthony G. Cruel</t>
        </is>
      </c>
      <c r="E24" s="3" t="inlineStr">
        <is>
          <t>Vice Dean Ken Gie Anthony G. Cruel (compliance audit); MIS Head Jayson R. Francisco (repository)</t>
        </is>
      </c>
      <c r="F24" s="4" t="n">
        <v>46295</v>
      </c>
      <c r="G24" s="5" t="inlineStr">
        <is>
          <t>For review</t>
        </is>
      </c>
      <c r="H24" s="6" t="n">
        <v>1</v>
      </c>
      <c r="I24" s="7" t="inlineStr">
        <is>
          <t>Unit summary computed in the draft: Yr1 67, Yr2 67, Yr3 57. Two term totals still carry unresolved formulas — verify before finalising. Programme Chairs agreed in principle on a 14-week term (not yet final) — see Open Item 1.</t>
        </is>
      </c>
    </row>
    <row r="25" ht="35" customHeight="1" s="31">
      <c r="A25" s="2" t="n">
        <v>17</v>
      </c>
      <c r="B25" s="3" t="inlineStr">
        <is>
          <t>Updated trimester curriculum — list of subjects with GE and Specialized identified, BSA</t>
        </is>
      </c>
      <c r="C25" s="3" t="inlineStr">
        <is>
          <t>Checklist item 9.1</t>
        </is>
      </c>
      <c r="D25" s="3" t="inlineStr">
        <is>
          <t>Vice Dean Ken Gie Anthony G. Cruel</t>
        </is>
      </c>
      <c r="E25" s="3" t="inlineStr">
        <is>
          <t>Vice Dean Ken Gie Anthony G. Cruel (compliance audit); MIS Head Jayson R. Francisco (repository)</t>
        </is>
      </c>
      <c r="F25" s="4" t="n">
        <v>46295</v>
      </c>
      <c r="G25" s="5" t="inlineStr">
        <is>
          <t>For review</t>
        </is>
      </c>
      <c r="H25" s="6" t="n">
        <v>1</v>
      </c>
      <c r="I25" s="7" t="inlineStr">
        <is>
          <t>General education courses are identifiable by code in the draft prospectus; the formal GE versus Specialised tagging sheet is still to be produced.</t>
        </is>
      </c>
    </row>
    <row r="26" ht="135.75" customHeight="1" s="31">
      <c r="A26" s="2" t="n">
        <v>18</v>
      </c>
      <c r="B26" s="3" t="inlineStr">
        <is>
          <t>Updated trimester curriculum — sample schedule (Trimesters 1, 2 and 3), BSA</t>
        </is>
      </c>
      <c r="C26" s="3" t="inlineStr">
        <is>
          <t>Checklist item 9.2</t>
        </is>
      </c>
      <c r="D26" s="3" t="inlineStr">
        <is>
          <t>Vice Dean Ken Gie Anthony G. Cruel</t>
        </is>
      </c>
      <c r="E26" s="3" t="inlineStr">
        <is>
          <t>Vice Dean Ken Gie Anthony G. Cruel (compliance audit); MIS Head Jayson R. Francisco (repository)</t>
        </is>
      </c>
      <c r="F26" s="4" t="n">
        <v>46304</v>
      </c>
      <c r="G26" s="5" t="inlineStr">
        <is>
          <t>Not started</t>
        </is>
      </c>
      <c r="H26" s="6" t="n">
        <v>0</v>
      </c>
      <c r="I26" s="7" t="inlineStr">
        <is>
          <t>The proposed AY 2027-2028 calendar is in place and the college-wide contact-hour standard is set at 54 hours per 3-unit subject. The weekly schedule grid is still blank and cannot be built until the 14-week question is settled: at 15 weeks a 3-unit subject runs 216 minutes a week, which divides into whole periods (2 x 108, 3 x 72 or 4 x 54 minutes); at 14 weeks it runs 231.4 minutes, which divides into none. The grid must also leave room for two examinations (midterm and final) and one monthly assessment per term. Programme Chairs agreed in principle on a 14-week term (not yet final) — see Open Item 1.</t>
        </is>
      </c>
    </row>
    <row r="27" ht="124.5" customHeight="1" s="31">
      <c r="A27" s="2" t="n">
        <v>19</v>
      </c>
      <c r="B27" s="3" t="inlineStr">
        <is>
          <t>Curriculum — course descriptions, BSA</t>
        </is>
      </c>
      <c r="C27" s="3" t="inlineStr">
        <is>
          <t>Checklist item 7.3</t>
        </is>
      </c>
      <c r="D27" s="3" t="inlineStr">
        <is>
          <t>Vice Dean Ken Gie Anthony G. Cruel</t>
        </is>
      </c>
      <c r="E27"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7" s="4" t="n">
        <v>46304</v>
      </c>
      <c r="G27" s="5" t="inlineStr">
        <is>
          <t>For review</t>
        </is>
      </c>
      <c r="H27" s="6" t="n">
        <v>1</v>
      </c>
      <c r="I27" s="7" t="inlineStr">
        <is>
          <t>Awaiting the curriculum template. CAPACITY RISK: the programme-specialised courses here have no full-time author other than the Chair.</t>
        </is>
      </c>
    </row>
    <row r="28" ht="124.5" customHeight="1" s="31">
      <c r="A28" s="2" t="n">
        <v>20</v>
      </c>
      <c r="B28" s="3" t="inlineStr">
        <is>
          <t>Curriculum — course syllabi (outcomes-based), BSA</t>
        </is>
      </c>
      <c r="C28" s="3" t="inlineStr">
        <is>
          <t>Checklist item 7.4</t>
        </is>
      </c>
      <c r="D28" s="3" t="inlineStr">
        <is>
          <t>Vice Dean Ken Gie Anthony G. Cruel</t>
        </is>
      </c>
      <c r="E28"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8" s="4" t="n">
        <v>46311</v>
      </c>
      <c r="G28" s="5" t="inlineStr">
        <is>
          <t>In progress</t>
        </is>
      </c>
      <c r="H28" s="6" t="n">
        <v>0.05</v>
      </c>
      <c r="I28"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29" ht="91" customHeight="1" s="31">
      <c r="A29" s="2" t="n">
        <v>21</v>
      </c>
      <c r="B29" s="3" t="inlineStr">
        <is>
          <t>Curriculum — distribution of courses per trimester (9-term prospectus), BSAIS</t>
        </is>
      </c>
      <c r="C29" s="3" t="inlineStr">
        <is>
          <t>Checklist item 7.1</t>
        </is>
      </c>
      <c r="D29" s="3" t="inlineStr">
        <is>
          <t>Vice Dean Ken Gie Anthony G. Cruel</t>
        </is>
      </c>
      <c r="E29" s="3" t="inlineStr">
        <is>
          <t>Vice Dean Ken Gie Anthony G. Cruel (compliance audit); MIS Head Jayson R. Francisco (repository)</t>
        </is>
      </c>
      <c r="F29" s="4" t="n">
        <v>46290</v>
      </c>
      <c r="G29" s="5" t="inlineStr">
        <is>
          <t>For review</t>
        </is>
      </c>
      <c r="H29" s="6" t="n">
        <v>1</v>
      </c>
      <c r="I29" s="7" t="inlineStr">
        <is>
          <t>Draft 9-trimester prospectus prepared by the Vice Dean — 185 total units across 9 terms. Must be recast onto the agreed template (see Reference): Course Code, Course Title, Lec Hrs, Lab Hrs, Total Hrs, Credit Units, Prerequisite(s), with a sub-total per trimester and the programme's own PSG cited in the header. Programme Chairs agreed in principle on a 14-week term (not yet final) — see Open Item 1.</t>
        </is>
      </c>
    </row>
    <row r="30" ht="57.5" customHeight="1" s="31">
      <c r="A30" s="2" t="n">
        <v>22</v>
      </c>
      <c r="B30" s="3" t="inlineStr">
        <is>
          <t>Curriculum — summary of units, BSAIS</t>
        </is>
      </c>
      <c r="C30" s="3" t="inlineStr">
        <is>
          <t>Checklist item 7.2</t>
        </is>
      </c>
      <c r="D30" s="3" t="inlineStr">
        <is>
          <t>Vice Dean Ken Gie Anthony G. Cruel</t>
        </is>
      </c>
      <c r="E30" s="3" t="inlineStr">
        <is>
          <t>Vice Dean Ken Gie Anthony G. Cruel (compliance audit); MIS Head Jayson R. Francisco (repository)</t>
        </is>
      </c>
      <c r="F30" s="4" t="n">
        <v>46295</v>
      </c>
      <c r="G30" s="5" t="inlineStr">
        <is>
          <t>For review</t>
        </is>
      </c>
      <c r="H30" s="6" t="n">
        <v>1</v>
      </c>
      <c r="I30" s="7" t="inlineStr">
        <is>
          <t>Unit summary computed in the draft: Yr1 67, Yr2 67, Yr3 51. Two term totals still carry unresolved formulas — verify before finalising. Programme Chairs agreed in principle on a 14-week term (not yet final) — see Open Item 1.</t>
        </is>
      </c>
    </row>
    <row r="31" ht="35" customHeight="1" s="31">
      <c r="A31" s="2" t="n">
        <v>23</v>
      </c>
      <c r="B31" s="3" t="inlineStr">
        <is>
          <t>Updated trimester curriculum — list of subjects with GE and Specialized identified, BSAIS</t>
        </is>
      </c>
      <c r="C31" s="3" t="inlineStr">
        <is>
          <t>Checklist item 9.1</t>
        </is>
      </c>
      <c r="D31" s="3" t="inlineStr">
        <is>
          <t>Vice Dean Ken Gie Anthony G. Cruel</t>
        </is>
      </c>
      <c r="E31" s="3" t="inlineStr">
        <is>
          <t>Vice Dean Ken Gie Anthony G. Cruel (compliance audit); MIS Head Jayson R. Francisco (repository)</t>
        </is>
      </c>
      <c r="F31" s="4" t="n">
        <v>46295</v>
      </c>
      <c r="G31" s="5" t="inlineStr">
        <is>
          <t>For review</t>
        </is>
      </c>
      <c r="H31" s="6" t="n">
        <v>1</v>
      </c>
      <c r="I31" s="7" t="inlineStr">
        <is>
          <t>General education courses are identifiable by code in the draft prospectus; the formal GE versus Specialised tagging sheet is still to be produced.</t>
        </is>
      </c>
    </row>
    <row r="32" ht="135.75" customHeight="1" s="31">
      <c r="A32" s="2" t="n">
        <v>24</v>
      </c>
      <c r="B32" s="3" t="inlineStr">
        <is>
          <t>Updated trimester curriculum — sample schedule (Trimesters 1, 2 and 3), BSAIS</t>
        </is>
      </c>
      <c r="C32" s="3" t="inlineStr">
        <is>
          <t>Checklist item 9.2</t>
        </is>
      </c>
      <c r="D32" s="3" t="inlineStr">
        <is>
          <t>Vice Dean Ken Gie Anthony G. Cruel</t>
        </is>
      </c>
      <c r="E32" s="3" t="inlineStr">
        <is>
          <t>Vice Dean Ken Gie Anthony G. Cruel (compliance audit); MIS Head Jayson R. Francisco (repository)</t>
        </is>
      </c>
      <c r="F32" s="4" t="n">
        <v>46304</v>
      </c>
      <c r="G32" s="5" t="inlineStr">
        <is>
          <t>Not started</t>
        </is>
      </c>
      <c r="H32" s="6" t="n">
        <v>0</v>
      </c>
      <c r="I32" s="7" t="inlineStr">
        <is>
          <t>The proposed AY 2027-2028 calendar is in place and the college-wide contact-hour standard is set at 54 hours per 3-unit subject. The weekly schedule grid is still blank and cannot be built until the 14-week question is settled: at 15 weeks a 3-unit subject runs 216 minutes a week, which divides into whole periods (2 x 108, 3 x 72 or 4 x 54 minutes); at 14 weeks it runs 231.4 minutes, which divides into none. The grid must also leave room for two examinations (midterm and final) and one monthly assessment per term. Programme Chairs agreed in principle on a 14-week term (not yet final) — see Open Item 1.</t>
        </is>
      </c>
    </row>
    <row r="33" ht="124.5" customHeight="1" s="31">
      <c r="A33" s="2" t="n">
        <v>25</v>
      </c>
      <c r="B33" s="3" t="inlineStr">
        <is>
          <t>Curriculum — course descriptions, BSAIS</t>
        </is>
      </c>
      <c r="C33" s="3" t="inlineStr">
        <is>
          <t>Checklist item 7.3</t>
        </is>
      </c>
      <c r="D33" s="3" t="inlineStr">
        <is>
          <t>Vice Dean Ken Gie Anthony G. Cruel</t>
        </is>
      </c>
      <c r="E33"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3" s="4" t="n">
        <v>46304</v>
      </c>
      <c r="G33" s="5" t="inlineStr">
        <is>
          <t>For review</t>
        </is>
      </c>
      <c r="H33" s="6" t="n">
        <v>1</v>
      </c>
      <c r="I33" s="7" t="inlineStr">
        <is>
          <t>Awaiting the curriculum template. CAPACITY RISK: the programme-specialised courses here have no full-time author other than the Chair.</t>
        </is>
      </c>
    </row>
    <row r="34" ht="124.5" customHeight="1" s="31">
      <c r="A34" s="2" t="n">
        <v>26</v>
      </c>
      <c r="B34" s="3" t="inlineStr">
        <is>
          <t>Curriculum — course syllabi (outcomes-based), BSAIS</t>
        </is>
      </c>
      <c r="C34" s="3" t="inlineStr">
        <is>
          <t>Checklist item 7.4</t>
        </is>
      </c>
      <c r="D34" s="3" t="inlineStr">
        <is>
          <t>Vice Dean Ken Gie Anthony G. Cruel</t>
        </is>
      </c>
      <c r="E34"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4" s="4" t="n">
        <v>46311</v>
      </c>
      <c r="G34" s="5" t="inlineStr">
        <is>
          <t>In progress</t>
        </is>
      </c>
      <c r="H34" s="6" t="n">
        <v>0</v>
      </c>
      <c r="I34"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35" ht="68.75" customHeight="1" s="31">
      <c r="A35" s="2" t="n">
        <v>27</v>
      </c>
      <c r="B35" s="3" t="inlineStr">
        <is>
          <t>Curriculum — distribution of courses per trimester (9-term prospectus), BSBA</t>
        </is>
      </c>
      <c r="C35" s="3" t="inlineStr">
        <is>
          <t>Checklist item 7.1</t>
        </is>
      </c>
      <c r="D35" s="3" t="inlineStr">
        <is>
          <t>Program Chair Ranilo S. Castillo II</t>
        </is>
      </c>
      <c r="E35" s="3" t="inlineStr">
        <is>
          <t>Vice Dean Ken Gie Anthony G. Cruel (compliance audit); MIS Head Jayson R. Francisco (repository)</t>
        </is>
      </c>
      <c r="F35" s="4" t="n">
        <v>46290</v>
      </c>
      <c r="G35" s="5" t="inlineStr">
        <is>
          <t>For review</t>
        </is>
      </c>
      <c r="H35" s="6" t="n">
        <v>1</v>
      </c>
      <c r="I35" s="7" t="inlineStr">
        <is>
          <t>Draft 9-trimester prospectus under preparation by the Programme Chair. The BSCRIM submission is the working template — see the Reference sheet for its required structure. Programme Chairs agreed in principle on a 14-week term (not yet final) — see Open Item 1.</t>
        </is>
      </c>
    </row>
    <row r="36" ht="57.5" customHeight="1" s="31">
      <c r="A36" s="2" t="n">
        <v>28</v>
      </c>
      <c r="B36" s="3" t="inlineStr">
        <is>
          <t>Curriculum — summary of units, BSBA</t>
        </is>
      </c>
      <c r="C36" s="3" t="inlineStr">
        <is>
          <t>Checklist item 7.2</t>
        </is>
      </c>
      <c r="D36" s="3" t="inlineStr">
        <is>
          <t>Program Chair Ranilo S. Castillo II</t>
        </is>
      </c>
      <c r="E36" s="3" t="inlineStr">
        <is>
          <t>Vice Dean Ken Gie Anthony G. Cruel (compliance audit); MIS Head Jayson R. Francisco (repository)</t>
        </is>
      </c>
      <c r="F36" s="4" t="n">
        <v>46295</v>
      </c>
      <c r="G36" s="5" t="inlineStr">
        <is>
          <t>For review</t>
        </is>
      </c>
      <c r="H36" s="6" t="n">
        <v>1</v>
      </c>
      <c r="I36" s="7" t="inlineStr">
        <is>
          <t>Unit summary being computed from the draft prospectus. Use the BSCRIM summary table format: units by category code, then total. Programme Chairs agreed in principle on a 14-week term (not yet final) — see Open Item 1.</t>
        </is>
      </c>
    </row>
    <row r="37" ht="35" customHeight="1" s="31">
      <c r="A37" s="2" t="n">
        <v>29</v>
      </c>
      <c r="B37" s="3" t="inlineStr">
        <is>
          <t>Updated trimester curriculum — list of subjects with GE and Specialized identified, BSBA</t>
        </is>
      </c>
      <c r="C37" s="3" t="inlineStr">
        <is>
          <t>Checklist item 9.1</t>
        </is>
      </c>
      <c r="D37" s="3" t="inlineStr">
        <is>
          <t>Program Chair Ranilo S. Castillo II</t>
        </is>
      </c>
      <c r="E37" s="3" t="inlineStr">
        <is>
          <t>Vice Dean Ken Gie Anthony G. Cruel (compliance audit); MIS Head Jayson R. Francisco (repository)</t>
        </is>
      </c>
      <c r="F37" s="4" t="n">
        <v>46295</v>
      </c>
      <c r="G37" s="5" t="inlineStr">
        <is>
          <t>For review</t>
        </is>
      </c>
      <c r="H37" s="6" t="n">
        <v>1</v>
      </c>
      <c r="I37" s="7" t="inlineStr">
        <is>
          <t>General education courses are identifiable by code in the draft prospectus; the formal GE versus Specialised tagging sheet is still to be produced.</t>
        </is>
      </c>
    </row>
    <row r="38" ht="135.75" customHeight="1" s="31">
      <c r="A38" s="2" t="n">
        <v>30</v>
      </c>
      <c r="B38" s="3" t="inlineStr">
        <is>
          <t>Updated trimester curriculum — sample schedule (Trimesters 1, 2 and 3), BSBA</t>
        </is>
      </c>
      <c r="C38" s="3" t="inlineStr">
        <is>
          <t>Checklist item 9.2</t>
        </is>
      </c>
      <c r="D38" s="3" t="inlineStr">
        <is>
          <t>Program Chair Ranilo S. Castillo II</t>
        </is>
      </c>
      <c r="E38" s="3" t="inlineStr">
        <is>
          <t>Vice Dean Ken Gie Anthony G. Cruel (compliance audit); MIS Head Jayson R. Francisco (repository)</t>
        </is>
      </c>
      <c r="F38" s="4" t="n">
        <v>46304</v>
      </c>
      <c r="G38" s="5" t="inlineStr">
        <is>
          <t>Not started</t>
        </is>
      </c>
      <c r="H38" s="6" t="n">
        <v>0</v>
      </c>
      <c r="I38" s="7" t="inlineStr">
        <is>
          <t>The proposed AY 2027-2028 calendar is in place and the college-wide contact-hour standard is set at 54 hours per 3-unit subject. The weekly schedule grid is still blank and cannot be built until the 14-week question is settled: at 15 weeks a 3-unit subject runs 216 minutes a week, which divides into whole periods (2 x 108, 3 x 72 or 4 x 54 minutes); at 14 weeks it runs 231.4 minutes, which divides into none. The grid must also leave room for two examinations (midterm and final) and one monthly assessment per term. Programme Chairs agreed in principle on a 14-week term (not yet final) — see Open Item 1.</t>
        </is>
      </c>
    </row>
    <row r="39" ht="113.5" customHeight="1" s="31">
      <c r="A39" s="2" t="n">
        <v>31</v>
      </c>
      <c r="B39" s="3" t="inlineStr">
        <is>
          <t>Curriculum — course descriptions, BSBA</t>
        </is>
      </c>
      <c r="C39" s="3" t="inlineStr">
        <is>
          <t>Checklist item 7.3</t>
        </is>
      </c>
      <c r="D39" s="3" t="inlineStr">
        <is>
          <t>Program Chair Ranilo S. Castillo II</t>
        </is>
      </c>
      <c r="E39"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39" s="4" t="n">
        <v>46304</v>
      </c>
      <c r="G39" s="5" t="inlineStr">
        <is>
          <t>For review</t>
        </is>
      </c>
      <c r="H39" s="6" t="n">
        <v>1</v>
      </c>
      <c r="I39" s="7" t="inlineStr">
        <is>
          <t>Awaiting the curriculum template.</t>
        </is>
      </c>
    </row>
    <row r="40" ht="113.5" customHeight="1" s="31">
      <c r="A40" s="2" t="n">
        <v>32</v>
      </c>
      <c r="B40" s="3" t="inlineStr">
        <is>
          <t>Curriculum — course syllabi (outcomes-based), BSBA</t>
        </is>
      </c>
      <c r="C40" s="3" t="inlineStr">
        <is>
          <t>Checklist item 7.4</t>
        </is>
      </c>
      <c r="D40" s="3" t="inlineStr">
        <is>
          <t>Program Chair Ranilo S. Castillo II</t>
        </is>
      </c>
      <c r="E40"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40" s="4" t="n">
        <v>46311</v>
      </c>
      <c r="G40" s="5" t="inlineStr">
        <is>
          <t>In progress</t>
        </is>
      </c>
      <c r="H40" s="6" t="n">
        <v>0</v>
      </c>
      <c r="I40" s="7" t="inlineStr">
        <is>
          <t>ASSESSMENT SCHEME confirmed by the Vice Dean, 3 Sep 2026: two examinations per term (midterm and final), one required monthly assessment, plus regular quizzes and activities. Every syllabus must carry this scheme.</t>
        </is>
      </c>
    </row>
    <row r="41" ht="68.75" customHeight="1" s="31">
      <c r="A41" s="2" t="n">
        <v>33</v>
      </c>
      <c r="B41" s="3" t="inlineStr">
        <is>
          <t>Curriculum — distribution of courses per trimester (9-term prospectus), BSCS</t>
        </is>
      </c>
      <c r="C41" s="3" t="inlineStr">
        <is>
          <t>Checklist item 7.1</t>
        </is>
      </c>
      <c r="D41" s="3" t="inlineStr">
        <is>
          <t>Program Chair John Philip N. Diamat</t>
        </is>
      </c>
      <c r="E41" s="3" t="inlineStr">
        <is>
          <t>Vice Dean Ken Gie Anthony G. Cruel (compliance audit); MIS Head Jayson R. Francisco (repository)</t>
        </is>
      </c>
      <c r="F41" s="4" t="n">
        <v>46290</v>
      </c>
      <c r="G41" s="5" t="inlineStr">
        <is>
          <t>For review</t>
        </is>
      </c>
      <c r="H41" s="6" t="n">
        <v>1</v>
      </c>
      <c r="I41" s="7" t="inlineStr">
        <is>
          <t>Draft 9-trimester prospectus under preparation by the Programme Chair. The BSCRIM submission is the working template — see the Reference sheet for its required structure. Programme Chairs agreed in principle on a 14-week term (not yet final) — see Open Item 1.</t>
        </is>
      </c>
    </row>
    <row r="42" ht="57.5" customHeight="1" s="31">
      <c r="A42" s="2" t="n">
        <v>34</v>
      </c>
      <c r="B42" s="3" t="inlineStr">
        <is>
          <t>Curriculum — summary of units, BSCS</t>
        </is>
      </c>
      <c r="C42" s="3" t="inlineStr">
        <is>
          <t>Checklist item 7.2</t>
        </is>
      </c>
      <c r="D42" s="3" t="inlineStr">
        <is>
          <t>Program Chair John Philip N. Diamat</t>
        </is>
      </c>
      <c r="E42" s="3" t="inlineStr">
        <is>
          <t>Vice Dean Ken Gie Anthony G. Cruel (compliance audit); MIS Head Jayson R. Francisco (repository)</t>
        </is>
      </c>
      <c r="F42" s="4" t="n">
        <v>46295</v>
      </c>
      <c r="G42" s="5" t="inlineStr">
        <is>
          <t>For review</t>
        </is>
      </c>
      <c r="H42" s="6" t="n">
        <v>1</v>
      </c>
      <c r="I42" s="7" t="inlineStr">
        <is>
          <t>Unit summary being computed from the draft prospectus. Use the BSCRIM summary table format: units by category code, then total. Programme Chairs agreed in principle on a 14-week term (not yet final) — see Open Item 1.</t>
        </is>
      </c>
    </row>
    <row r="43" ht="35" customHeight="1" s="31">
      <c r="A43" s="2" t="n">
        <v>35</v>
      </c>
      <c r="B43" s="3" t="inlineStr">
        <is>
          <t>Updated trimester curriculum — list of subjects with GE and Specialized identified, BSCS</t>
        </is>
      </c>
      <c r="C43" s="3" t="inlineStr">
        <is>
          <t>Checklist item 9.1</t>
        </is>
      </c>
      <c r="D43" s="3" t="inlineStr">
        <is>
          <t>Program Chair John Philip N. Diamat</t>
        </is>
      </c>
      <c r="E43" s="3" t="inlineStr">
        <is>
          <t>Vice Dean Ken Gie Anthony G. Cruel (compliance audit); MIS Head Jayson R. Francisco (repository)</t>
        </is>
      </c>
      <c r="F43" s="4" t="n">
        <v>46295</v>
      </c>
      <c r="G43" s="5" t="inlineStr">
        <is>
          <t>For review</t>
        </is>
      </c>
      <c r="H43" s="6" t="n">
        <v>1</v>
      </c>
      <c r="I43" s="7" t="inlineStr">
        <is>
          <t>General education courses are identifiable by code in the draft prospectus; the formal GE versus Specialised tagging sheet is still to be produced.</t>
        </is>
      </c>
    </row>
    <row r="44" ht="135.75" customHeight="1" s="31">
      <c r="A44" s="2" t="n">
        <v>36</v>
      </c>
      <c r="B44" s="3" t="inlineStr">
        <is>
          <t>Updated trimester curriculum — sample schedule (Trimesters 1, 2 and 3), BSCS</t>
        </is>
      </c>
      <c r="C44" s="3" t="inlineStr">
        <is>
          <t>Checklist item 9.2</t>
        </is>
      </c>
      <c r="D44" s="3" t="inlineStr">
        <is>
          <t>Program Chair John Philip N. Diamat</t>
        </is>
      </c>
      <c r="E44" s="3" t="inlineStr">
        <is>
          <t>Vice Dean Ken Gie Anthony G. Cruel (compliance audit); MIS Head Jayson R. Francisco (repository)</t>
        </is>
      </c>
      <c r="F44" s="4" t="n">
        <v>46304</v>
      </c>
      <c r="G44" s="5" t="inlineStr">
        <is>
          <t>Not started</t>
        </is>
      </c>
      <c r="H44" s="6" t="n">
        <v>0</v>
      </c>
      <c r="I44" s="7" t="inlineStr">
        <is>
          <t>The proposed AY 2027-2028 calendar is in place and the college-wide contact-hour standard is set at 54 hours per 3-unit subject. The weekly schedule grid is still blank and cannot be built until the 14-week question is settled: at 15 weeks a 3-unit subject runs 216 minutes a week, which divides into whole periods (2 x 108, 3 x 72 or 4 x 54 minutes); at 14 weeks it runs 231.4 minutes, which divides into none. The grid must also leave room for two examinations (midterm and final) and one monthly assessment per term. Programme Chairs agreed in principle on a 14-week term (not yet final) — see Open Item 1.</t>
        </is>
      </c>
    </row>
    <row r="45" ht="79.75" customHeight="1" s="31">
      <c r="A45" s="2" t="n">
        <v>37</v>
      </c>
      <c r="B45" s="3" t="inlineStr">
        <is>
          <t>Curriculum — course descriptions, BSCS</t>
        </is>
      </c>
      <c r="C45" s="3" t="inlineStr">
        <is>
          <t>Checklist item 7.3</t>
        </is>
      </c>
      <c r="D45" s="3" t="inlineStr">
        <is>
          <t>Program Chair John Philip N. Diamat</t>
        </is>
      </c>
      <c r="E45" s="3" t="inlineStr">
        <is>
          <t>Vice Dean Ken Gie Anthony G. Cruel (compliance audit); MIS Head Jayson R. Francisco (repository); General Education Syllabi Pool (20 shared GE, PATH-FIT, NSTP and CLE courses, written once for all 8 programs); 1 full-time BSCS faculty</t>
        </is>
      </c>
      <c r="F45" s="4" t="n">
        <v>46304</v>
      </c>
      <c r="G45" s="5" t="inlineStr">
        <is>
          <t>For review</t>
        </is>
      </c>
      <c r="H45" s="6" t="n">
        <v>1</v>
      </c>
      <c r="I45" s="7" t="inlineStr">
        <is>
          <t>Awaiting the curriculum template.</t>
        </is>
      </c>
    </row>
    <row r="46" ht="79.75" customHeight="1" s="31">
      <c r="A46" s="2" t="n">
        <v>38</v>
      </c>
      <c r="B46" s="3" t="inlineStr">
        <is>
          <t>Curriculum — course syllabi (outcomes-based), BSCS</t>
        </is>
      </c>
      <c r="C46" s="3" t="inlineStr">
        <is>
          <t>Checklist item 7.4</t>
        </is>
      </c>
      <c r="D46" s="3" t="inlineStr">
        <is>
          <t>Program Chair John Philip N. Diamat</t>
        </is>
      </c>
      <c r="E46" s="3" t="inlineStr">
        <is>
          <t>Vice Dean Ken Gie Anthony G. Cruel (compliance audit); MIS Head Jayson R. Francisco (repository); General Education Syllabi Pool (20 shared GE, PATH-FIT, NSTP and CLE courses, written once for all 8 programs); 1 full-time BSCS faculty</t>
        </is>
      </c>
      <c r="F46" s="4" t="n">
        <v>46311</v>
      </c>
      <c r="G46" s="5" t="inlineStr">
        <is>
          <t>In progress</t>
        </is>
      </c>
      <c r="H46" s="6" t="n">
        <v>0</v>
      </c>
      <c r="I46" s="7" t="inlineStr">
        <is>
          <t>ASSESSMENT SCHEME confirmed by the Vice Dean, 3 Sep 2026: two examinations per term (midterm and final), one required monthly assessment, plus regular quizzes and activities. Every syllabus must carry this scheme.</t>
        </is>
      </c>
    </row>
    <row r="47" ht="68.75" customHeight="1" s="31">
      <c r="A47" s="2" t="n">
        <v>39</v>
      </c>
      <c r="B47" s="3" t="inlineStr">
        <is>
          <t>Curriculum — distribution of courses per trimester (9-term prospectus), BSHM</t>
        </is>
      </c>
      <c r="C47" s="3" t="inlineStr">
        <is>
          <t>Checklist item 7.1</t>
        </is>
      </c>
      <c r="D47" s="3" t="inlineStr">
        <is>
          <t>Program Chair Stephanie S. Ciasico</t>
        </is>
      </c>
      <c r="E47" s="3" t="inlineStr">
        <is>
          <t>Vice Dean Ken Gie Anthony G. Cruel (compliance audit); MIS Head Jayson R. Francisco (repository)</t>
        </is>
      </c>
      <c r="F47" s="4" t="n">
        <v>46290</v>
      </c>
      <c r="G47" s="5" t="inlineStr">
        <is>
          <t>For review</t>
        </is>
      </c>
      <c r="H47" s="6" t="n">
        <v>1</v>
      </c>
      <c r="I47" s="7" t="inlineStr">
        <is>
          <t>Draft 9-trimester prospectus under preparation by the Programme Chair. The BSCRIM submission is the working template — see the Reference sheet for its required structure. Programme Chairs agreed in principle on a 14-week term (not yet final) — see Open Item 1.</t>
        </is>
      </c>
    </row>
    <row r="48" ht="57.5" customHeight="1" s="31">
      <c r="A48" s="2" t="n">
        <v>40</v>
      </c>
      <c r="B48" s="3" t="inlineStr">
        <is>
          <t>Curriculum — summary of units, BSHM</t>
        </is>
      </c>
      <c r="C48" s="3" t="inlineStr">
        <is>
          <t>Checklist item 7.2</t>
        </is>
      </c>
      <c r="D48" s="3" t="inlineStr">
        <is>
          <t>Program Chair Stephanie S. Ciasico</t>
        </is>
      </c>
      <c r="E48" s="3" t="inlineStr">
        <is>
          <t>Vice Dean Ken Gie Anthony G. Cruel (compliance audit); MIS Head Jayson R. Francisco (repository)</t>
        </is>
      </c>
      <c r="F48" s="4" t="n">
        <v>46295</v>
      </c>
      <c r="G48" s="5" t="inlineStr">
        <is>
          <t>For review</t>
        </is>
      </c>
      <c r="H48" s="6" t="n">
        <v>1</v>
      </c>
      <c r="I48" s="7" t="inlineStr">
        <is>
          <t>Unit summary being computed from the draft prospectus. Use the BSCRIM summary table format: units by category code, then total. Programme Chairs agreed in principle on a 14-week term (not yet final) — see Open Item 1.</t>
        </is>
      </c>
    </row>
    <row r="49" ht="35" customHeight="1" s="31">
      <c r="A49" s="2" t="n">
        <v>41</v>
      </c>
      <c r="B49" s="3" t="inlineStr">
        <is>
          <t>Updated trimester curriculum — list of subjects with GE and Specialized identified, BSHM</t>
        </is>
      </c>
      <c r="C49" s="3" t="inlineStr">
        <is>
          <t>Checklist item 9.1</t>
        </is>
      </c>
      <c r="D49" s="3" t="inlineStr">
        <is>
          <t>Program Chair Stephanie S. Ciasico</t>
        </is>
      </c>
      <c r="E49" s="3" t="inlineStr">
        <is>
          <t>Vice Dean Ken Gie Anthony G. Cruel (compliance audit); MIS Head Jayson R. Francisco (repository)</t>
        </is>
      </c>
      <c r="F49" s="4" t="n">
        <v>46295</v>
      </c>
      <c r="G49" s="5" t="inlineStr">
        <is>
          <t>For review</t>
        </is>
      </c>
      <c r="H49" s="6" t="n">
        <v>1</v>
      </c>
      <c r="I49" s="7" t="inlineStr">
        <is>
          <t>General education courses are identifiable by code in the draft prospectus; the formal GE versus Specialised tagging sheet is still to be produced.</t>
        </is>
      </c>
    </row>
    <row r="50" ht="135.75" customHeight="1" s="31">
      <c r="A50" s="2" t="n">
        <v>42</v>
      </c>
      <c r="B50" s="3" t="inlineStr">
        <is>
          <t>Updated trimester curriculum — sample schedule (Trimesters 1, 2 and 3), BSHM</t>
        </is>
      </c>
      <c r="C50" s="3" t="inlineStr">
        <is>
          <t>Checklist item 9.2</t>
        </is>
      </c>
      <c r="D50" s="3" t="inlineStr">
        <is>
          <t>Program Chair Stephanie S. Ciasico</t>
        </is>
      </c>
      <c r="E50" s="3" t="inlineStr">
        <is>
          <t>Vice Dean Ken Gie Anthony G. Cruel (compliance audit); MIS Head Jayson R. Francisco (repository)</t>
        </is>
      </c>
      <c r="F50" s="4" t="n">
        <v>46304</v>
      </c>
      <c r="G50" s="5" t="inlineStr">
        <is>
          <t>Not started</t>
        </is>
      </c>
      <c r="H50" s="6" t="n">
        <v>0</v>
      </c>
      <c r="I50" s="7" t="inlineStr">
        <is>
          <t>The proposed AY 2027-2028 calendar is in place and the college-wide contact-hour standard is set at 54 hours per 3-unit subject. The weekly schedule grid is still blank and cannot be built until the 14-week question is settled: at 15 weeks a 3-unit subject runs 216 minutes a week, which divides into whole periods (2 x 108, 3 x 72 or 4 x 54 minutes); at 14 weeks it runs 231.4 minutes, which divides into none. The grid must also leave room for two examinations (midterm and final) and one monthly assessment per term. Programme Chairs agreed in principle on a 14-week term (not yet final) — see Open Item 1.</t>
        </is>
      </c>
    </row>
    <row r="51" ht="113.5" customHeight="1" s="31">
      <c r="A51" s="2" t="n">
        <v>43</v>
      </c>
      <c r="B51" s="3" t="inlineStr">
        <is>
          <t>Curriculum — course descriptions, BSHM</t>
        </is>
      </c>
      <c r="C51" s="3" t="inlineStr">
        <is>
          <t>Checklist item 7.3</t>
        </is>
      </c>
      <c r="D51" s="3" t="inlineStr">
        <is>
          <t>Program Chair Stephanie S. Ciasico</t>
        </is>
      </c>
      <c r="E51"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1" s="4" t="n">
        <v>46304</v>
      </c>
      <c r="G51" s="5" t="inlineStr">
        <is>
          <t>For review</t>
        </is>
      </c>
      <c r="H51" s="6" t="n">
        <v>1</v>
      </c>
      <c r="I51" s="7" t="inlineStr">
        <is>
          <t>Awaiting the curriculum template.</t>
        </is>
      </c>
    </row>
    <row r="52" ht="113.5" customHeight="1" s="31">
      <c r="A52" s="2" t="n">
        <v>44</v>
      </c>
      <c r="B52" s="3" t="inlineStr">
        <is>
          <t>Curriculum — course syllabi (outcomes-based), BSHM</t>
        </is>
      </c>
      <c r="C52" s="3" t="inlineStr">
        <is>
          <t>Checklist item 7.4</t>
        </is>
      </c>
      <c r="D52" s="3" t="inlineStr">
        <is>
          <t>Program Chair Stephanie S. Ciasico</t>
        </is>
      </c>
      <c r="E52"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2" s="4" t="n">
        <v>46311</v>
      </c>
      <c r="G52" s="5" t="inlineStr">
        <is>
          <t>In progress</t>
        </is>
      </c>
      <c r="H52" s="6" t="n">
        <v>0</v>
      </c>
      <c r="I52" s="7" t="inlineStr">
        <is>
          <t>ASSESSMENT SCHEME confirmed by the Vice Dean, 3 Sep 2026: two examinations per term (midterm and final), one required monthly assessment, plus regular quizzes and activities. Every syllabus must carry this scheme.</t>
        </is>
      </c>
    </row>
    <row r="53" ht="191.75" customHeight="1" s="31">
      <c r="A53" s="2" t="n">
        <v>45</v>
      </c>
      <c r="B53" s="3" t="inlineStr">
        <is>
          <t>Curriculum — distribution of courses per trimester (9-term prospectus), BSCRIM</t>
        </is>
      </c>
      <c r="C53" s="3" t="inlineStr">
        <is>
          <t>Checklist item 7.1</t>
        </is>
      </c>
      <c r="D53" s="3" t="inlineStr">
        <is>
          <t>Program Chair Samantha Rose C. Pisto</t>
        </is>
      </c>
      <c r="E53" s="3" t="inlineStr">
        <is>
          <t>Vice Dean Ken Gie Anthony G. Cruel (compliance audit); MIS Head Jayson R. Francisco (repository)</t>
        </is>
      </c>
      <c r="F53" s="4" t="n">
        <v>46290</v>
      </c>
      <c r="G53" s="5" t="inlineStr">
        <is>
          <t>For review</t>
        </is>
      </c>
      <c r="H53" s="6" t="n">
        <v>1</v>
      </c>
      <c r="I53" s="7" t="inlineStr">
        <is>
          <t>Complete 9-trimester prospectus submitted on the agreed template — 192 total units, citing CMO 05 s.2018 and CMO 20 s.2013. FIVE DEFECTS FOUND ON REVIEW, all for the Programme Chair to resolve: (1) PCES-CRC Professional Conduct &amp; Ethical Standard appears twice, in Trimesters 2 and 3; (2) RES1-CRC Criminological Research 1 appears twice, in Trimesters 6 and 7; (3) PCJS-CLJ is named as a prerequisite by four courses — HRE-CLJ, JDJS-CRC, INST-COR and DRIM-CRC — but is never offered in any of the nine trimesters; (4) TOXI-FRC lists CHEM-GEE as its prerequisite but the course offered in Trimester 3 is coded CHEM-GEC; (5) Trimesters 4 and 5 carry 25 units each, which at the 54-hour standard is 450 hours, or 7.5 teaching hours a day over four days. Programme Chairs agreed in principle on a 14-week term (not yet final) — see Open Item 1.</t>
        </is>
      </c>
    </row>
    <row r="54" ht="68.75" customHeight="1" s="31">
      <c r="A54" s="2" t="n">
        <v>46</v>
      </c>
      <c r="B54" s="3" t="inlineStr">
        <is>
          <t>Curriculum — summary of units, BSCRIM</t>
        </is>
      </c>
      <c r="C54" s="3" t="inlineStr">
        <is>
          <t>Checklist item 7.2</t>
        </is>
      </c>
      <c r="D54" s="3" t="inlineStr">
        <is>
          <t>Program Chair Samantha Rose C. Pisto</t>
        </is>
      </c>
      <c r="E54" s="3" t="inlineStr">
        <is>
          <t>Vice Dean Ken Gie Anthony G. Cruel (compliance audit); MIS Head Jayson R. Francisco (repository)</t>
        </is>
      </c>
      <c r="F54" s="4" t="n">
        <v>46295</v>
      </c>
      <c r="G54" s="5" t="inlineStr">
        <is>
          <t>For review</t>
        </is>
      </c>
      <c r="H54" s="6" t="n">
        <v>1</v>
      </c>
      <c r="I54" s="7" t="inlineStr">
        <is>
          <t>Summary table present and internally consistent: 33 GE Core plus Rizal, 15 GE Electives, 8 PE, 6 NSTP, 19 Core, 105 Major, 6 Internship = 192 units. Trimester sub-totals also foot. Recheck after the duplicate courses in item 45 are removed, since removing them changes the totals.</t>
        </is>
      </c>
    </row>
    <row r="55" ht="35" customHeight="1" s="31">
      <c r="A55" s="2" t="n">
        <v>47</v>
      </c>
      <c r="B55" s="3" t="inlineStr">
        <is>
          <t>Updated trimester curriculum — list of subjects with GE and Specialized identified, BSCRIM</t>
        </is>
      </c>
      <c r="C55" s="3" t="inlineStr">
        <is>
          <t>Checklist item 9.1</t>
        </is>
      </c>
      <c r="D55" s="3" t="inlineStr">
        <is>
          <t>Program Chair Samantha Rose C. Pisto</t>
        </is>
      </c>
      <c r="E55" s="3" t="inlineStr">
        <is>
          <t>Vice Dean Ken Gie Anthony G. Cruel (compliance audit); MIS Head Jayson R. Francisco (repository)</t>
        </is>
      </c>
      <c r="F55" s="4" t="n">
        <v>46295</v>
      </c>
      <c r="G55" s="5" t="inlineStr">
        <is>
          <t>For review</t>
        </is>
      </c>
      <c r="H55" s="6" t="n">
        <v>1</v>
      </c>
      <c r="I55" s="7" t="inlineStr">
        <is>
          <t>General education courses are identifiable by code in the draft prospectus; the formal GE versus Specialised tagging sheet is still to be produced.</t>
        </is>
      </c>
    </row>
    <row r="56" ht="135.75" customHeight="1" s="31">
      <c r="A56" s="2" t="n">
        <v>48</v>
      </c>
      <c r="B56" s="3" t="inlineStr">
        <is>
          <t>Updated trimester curriculum — sample schedule (Trimesters 1, 2 and 3), BSCRIM</t>
        </is>
      </c>
      <c r="C56" s="3" t="inlineStr">
        <is>
          <t>Checklist item 9.2</t>
        </is>
      </c>
      <c r="D56" s="3" t="inlineStr">
        <is>
          <t>Program Chair Samantha Rose C. Pisto</t>
        </is>
      </c>
      <c r="E56" s="3" t="inlineStr">
        <is>
          <t>Vice Dean Ken Gie Anthony G. Cruel (compliance audit); MIS Head Jayson R. Francisco (repository)</t>
        </is>
      </c>
      <c r="F56" s="4" t="n">
        <v>46304</v>
      </c>
      <c r="G56" s="5" t="inlineStr">
        <is>
          <t>Not started</t>
        </is>
      </c>
      <c r="H56" s="6" t="n">
        <v>0</v>
      </c>
      <c r="I56" s="7" t="inlineStr">
        <is>
          <t>The proposed AY 2027-2028 calendar is in place and the college-wide contact-hour standard is set at 54 hours per 3-unit subject. The weekly schedule grid is still blank and cannot be built until the 14-week question is settled: at 15 weeks a 3-unit subject runs 216 minutes a week, which divides into whole periods (2 x 108, 3 x 72 or 4 x 54 minutes); at 14 weeks it runs 231.4 minutes, which divides into none. The grid must also leave room for two examinations (midterm and final) and one monthly assessment per term. Programme Chairs agreed in principle on a 14-week term (not yet final) — see Open Item 1.</t>
        </is>
      </c>
    </row>
    <row r="57" ht="91" customHeight="1" s="31">
      <c r="A57" s="2" t="n">
        <v>49</v>
      </c>
      <c r="B57" s="3" t="inlineStr">
        <is>
          <t>Curriculum — course descriptions, BSCRIM</t>
        </is>
      </c>
      <c r="C57" s="3" t="inlineStr">
        <is>
          <t>Checklist item 7.3</t>
        </is>
      </c>
      <c r="D57" s="3" t="inlineStr">
        <is>
          <t>Program Chair Samantha Rose C. Pisto</t>
        </is>
      </c>
      <c r="E57" s="3" t="inlineStr">
        <is>
          <t>Vice Dean Ken Gie Anthony G. Cruel (compliance audit); MIS Head Jayson R. Francisco (repository); General Education Syllabi Pool (20 shared GE, PATH-FIT, NSTP and CLE courses, written once for all 8 programs); 5 full-time BSCRIM faculty</t>
        </is>
      </c>
      <c r="F57" s="4" t="n">
        <v>46304</v>
      </c>
      <c r="G57" s="5" t="inlineStr">
        <is>
          <t>For review</t>
        </is>
      </c>
      <c r="H57" s="6" t="n">
        <v>1</v>
      </c>
      <c r="I57" s="7" t="inlineStr">
        <is>
          <t>Awaiting the curriculum template.</t>
        </is>
      </c>
    </row>
    <row r="58" ht="91" customHeight="1" s="31">
      <c r="A58" s="2" t="n">
        <v>50</v>
      </c>
      <c r="B58" s="3" t="inlineStr">
        <is>
          <t>Curriculum — course syllabi (outcomes-based), BSCRIM</t>
        </is>
      </c>
      <c r="C58" s="3" t="inlineStr">
        <is>
          <t>Checklist item 7.4</t>
        </is>
      </c>
      <c r="D58" s="3" t="inlineStr">
        <is>
          <t>Program Chair Samantha Rose C. Pisto</t>
        </is>
      </c>
      <c r="E58" s="3" t="inlineStr">
        <is>
          <t>Vice Dean Ken Gie Anthony G. Cruel (compliance audit); MIS Head Jayson R. Francisco (repository); General Education Syllabi Pool (20 shared GE, PATH-FIT, NSTP and CLE courses, written once for all 8 programs); 5 full-time BSCRIM faculty</t>
        </is>
      </c>
      <c r="F58" s="4" t="n">
        <v>46311</v>
      </c>
      <c r="G58" s="5" t="inlineStr">
        <is>
          <t>In progress</t>
        </is>
      </c>
      <c r="H58" s="6" t="n">
        <v>1</v>
      </c>
      <c r="I58" s="7" t="inlineStr">
        <is>
          <t>ASSESSMENT SCHEME confirmed by the Vice Dean, 3 Sep 2026: two examinations per term (midterm and final), one required monthly assessment, plus regular quizzes and activities. Every syllabus must carry this scheme.</t>
        </is>
      </c>
    </row>
    <row r="59" ht="68.75" customHeight="1" s="31">
      <c r="A59" s="2" t="n">
        <v>51</v>
      </c>
      <c r="B59" s="3" t="inlineStr">
        <is>
          <t>Curriculum — distribution of courses per trimester (9-term prospectus), BEED</t>
        </is>
      </c>
      <c r="C59" s="3" t="inlineStr">
        <is>
          <t>Checklist item 7.1</t>
        </is>
      </c>
      <c r="D59" s="3" t="inlineStr">
        <is>
          <t>Program Chair Kent E. Garcia</t>
        </is>
      </c>
      <c r="E59" s="3" t="inlineStr">
        <is>
          <t>Vice Dean Ken Gie Anthony G. Cruel (compliance audit); MIS Head Jayson R. Francisco (repository)</t>
        </is>
      </c>
      <c r="F59" s="4" t="n">
        <v>46290</v>
      </c>
      <c r="G59" s="5" t="inlineStr">
        <is>
          <t>For review</t>
        </is>
      </c>
      <c r="H59" s="6" t="n">
        <v>1</v>
      </c>
      <c r="I59" s="7" t="inlineStr">
        <is>
          <t>Draft 9-trimester prospectus under preparation by the Programme Chair. The BSCRIM submission is the working template — see the Reference sheet for its required structure. Programme Chairs agreed in principle on a 14-week term (not yet final) — see Open Item 1.</t>
        </is>
      </c>
    </row>
    <row r="60" ht="57.5" customHeight="1" s="31">
      <c r="A60" s="2" t="n">
        <v>52</v>
      </c>
      <c r="B60" s="3" t="inlineStr">
        <is>
          <t>Curriculum — summary of units, BEED</t>
        </is>
      </c>
      <c r="C60" s="3" t="inlineStr">
        <is>
          <t>Checklist item 7.2</t>
        </is>
      </c>
      <c r="D60" s="3" t="inlineStr">
        <is>
          <t>Program Chair Kent E. Garcia</t>
        </is>
      </c>
      <c r="E60" s="3" t="inlineStr">
        <is>
          <t>Vice Dean Ken Gie Anthony G. Cruel (compliance audit); MIS Head Jayson R. Francisco (repository)</t>
        </is>
      </c>
      <c r="F60" s="4" t="n">
        <v>46295</v>
      </c>
      <c r="G60" s="5" t="inlineStr">
        <is>
          <t>For review</t>
        </is>
      </c>
      <c r="H60" s="6" t="n">
        <v>1</v>
      </c>
      <c r="I60" s="7" t="inlineStr">
        <is>
          <t>Unit summary being computed from the draft prospectus. Use the BSCRIM summary table format: units by category code, then total. Programme Chairs agreed in principle on a 14-week term (not yet final) — see Open Item 1.</t>
        </is>
      </c>
    </row>
    <row r="61" ht="35" customHeight="1" s="31">
      <c r="A61" s="2" t="n">
        <v>53</v>
      </c>
      <c r="B61" s="3" t="inlineStr">
        <is>
          <t>Updated trimester curriculum — list of subjects with GE and Specialized identified, BEED</t>
        </is>
      </c>
      <c r="C61" s="3" t="inlineStr">
        <is>
          <t>Checklist item 9.1</t>
        </is>
      </c>
      <c r="D61" s="3" t="inlineStr">
        <is>
          <t>Program Chair Kent E. Garcia</t>
        </is>
      </c>
      <c r="E61" s="3" t="inlineStr">
        <is>
          <t>Vice Dean Ken Gie Anthony G. Cruel (compliance audit); MIS Head Jayson R. Francisco (repository)</t>
        </is>
      </c>
      <c r="F61" s="4" t="n">
        <v>46295</v>
      </c>
      <c r="G61" s="5" t="inlineStr">
        <is>
          <t>For review</t>
        </is>
      </c>
      <c r="H61" s="6" t="n">
        <v>1</v>
      </c>
      <c r="I61" s="7" t="inlineStr">
        <is>
          <t>General education courses are identifiable by code in the draft prospectus; the formal GE versus Specialised tagging sheet is still to be produced.</t>
        </is>
      </c>
    </row>
    <row r="62" ht="135.75" customHeight="1" s="31">
      <c r="A62" s="2" t="n">
        <v>54</v>
      </c>
      <c r="B62" s="3" t="inlineStr">
        <is>
          <t>Updated trimester curriculum — sample schedule (Trimesters 1, 2 and 3), BEED</t>
        </is>
      </c>
      <c r="C62" s="3" t="inlineStr">
        <is>
          <t>Checklist item 9.2</t>
        </is>
      </c>
      <c r="D62" s="3" t="inlineStr">
        <is>
          <t>Program Chair Kent E. Garcia</t>
        </is>
      </c>
      <c r="E62" s="3" t="inlineStr">
        <is>
          <t>Vice Dean Ken Gie Anthony G. Cruel (compliance audit); MIS Head Jayson R. Francisco (repository)</t>
        </is>
      </c>
      <c r="F62" s="4" t="n">
        <v>46304</v>
      </c>
      <c r="G62" s="5" t="inlineStr">
        <is>
          <t>Not started</t>
        </is>
      </c>
      <c r="H62" s="6" t="n">
        <v>0</v>
      </c>
      <c r="I62" s="7" t="inlineStr">
        <is>
          <t>The proposed AY 2027-2028 calendar is in place and the college-wide contact-hour standard is set at 54 hours per 3-unit subject. The weekly schedule grid is still blank and cannot be built until the 14-week question is settled: at 15 weeks a 3-unit subject runs 216 minutes a week, which divides into whole periods (2 x 108, 3 x 72 or 4 x 54 minutes); at 14 weeks it runs 231.4 minutes, which divides into none. The grid must also leave room for two examinations (midterm and final) and one monthly assessment per term. Programme Chairs agreed in principle on a 14-week term (not yet final) — see Open Item 1.</t>
        </is>
      </c>
    </row>
    <row r="63" ht="79.75" customHeight="1" s="31">
      <c r="A63" s="2" t="n">
        <v>55</v>
      </c>
      <c r="B63" s="3" t="inlineStr">
        <is>
          <t>Curriculum — course descriptions, BEED</t>
        </is>
      </c>
      <c r="C63" s="3" t="inlineStr">
        <is>
          <t>Checklist item 7.3</t>
        </is>
      </c>
      <c r="D63" s="3" t="inlineStr">
        <is>
          <t>Program Chair Kent E. Garcia</t>
        </is>
      </c>
      <c r="E63" s="3" t="inlineStr">
        <is>
          <t>Vice Dean Ken Gie Anthony G. Cruel (compliance audit); MIS Head Jayson R. Francisco (repository); General Education Syllabi Pool (20 shared GE, PATH-FIT, NSTP and CLE courses, written once for all 8 programs); 14 full-time BEED faculty</t>
        </is>
      </c>
      <c r="F63" s="4" t="n">
        <v>46304</v>
      </c>
      <c r="G63" s="5" t="inlineStr">
        <is>
          <t>For review</t>
        </is>
      </c>
      <c r="H63" s="6" t="n">
        <v>1</v>
      </c>
      <c r="I63" s="7" t="inlineStr">
        <is>
          <t>Awaiting the curriculum template.</t>
        </is>
      </c>
    </row>
    <row r="64" ht="79.75" customHeight="1" s="31">
      <c r="A64" s="2" t="n">
        <v>56</v>
      </c>
      <c r="B64" s="3" t="inlineStr">
        <is>
          <t>Curriculum — course syllabi (outcomes-based), BEED</t>
        </is>
      </c>
      <c r="C64" s="3" t="inlineStr">
        <is>
          <t>Checklist item 7.4</t>
        </is>
      </c>
      <c r="D64" s="3" t="inlineStr">
        <is>
          <t>Program Chair Kent E. Garcia</t>
        </is>
      </c>
      <c r="E64" s="3" t="inlineStr">
        <is>
          <t>Vice Dean Ken Gie Anthony G. Cruel (compliance audit); MIS Head Jayson R. Francisco (repository); General Education Syllabi Pool (20 shared GE, PATH-FIT, NSTP and CLE courses, written once for all 8 programs); 14 full-time BEED faculty</t>
        </is>
      </c>
      <c r="F64" s="4" t="n">
        <v>46311</v>
      </c>
      <c r="G64" s="5" t="inlineStr">
        <is>
          <t>In progress</t>
        </is>
      </c>
      <c r="H64" s="6" t="n">
        <v>0</v>
      </c>
      <c r="I64" s="7" t="inlineStr">
        <is>
          <t>ASSESSMENT SCHEME confirmed by the Vice Dean, 3 Sep 2026: two examinations per term (midterm and final), one required monthly assessment, plus regular quizzes and activities. Every syllabus must carry this scheme.</t>
        </is>
      </c>
    </row>
    <row r="65" ht="68.75" customHeight="1" s="31">
      <c r="A65" s="2" t="n">
        <v>57</v>
      </c>
      <c r="B65" s="3" t="inlineStr">
        <is>
          <t>Curriculum — distribution of courses per trimester (9-term prospectus), BSED</t>
        </is>
      </c>
      <c r="C65" s="3" t="inlineStr">
        <is>
          <t>Checklist item 7.1</t>
        </is>
      </c>
      <c r="D65" s="3" t="inlineStr">
        <is>
          <t>Program Chair Kent E. Garcia</t>
        </is>
      </c>
      <c r="E65" s="3" t="inlineStr">
        <is>
          <t>Vice Dean Ken Gie Anthony G. Cruel (compliance audit); MIS Head Jayson R. Francisco (repository)</t>
        </is>
      </c>
      <c r="F65" s="4" t="n">
        <v>46290</v>
      </c>
      <c r="G65" s="5" t="inlineStr">
        <is>
          <t>For review</t>
        </is>
      </c>
      <c r="H65" s="6" t="n">
        <v>1</v>
      </c>
      <c r="I65" s="7" t="inlineStr">
        <is>
          <t>Draft 9-trimester prospectus under preparation by the Programme Chair. The BSCRIM submission is the working template — see the Reference sheet for its required structure. Programme Chairs agreed in principle on a 14-week term (not yet final) — see Open Item 1.</t>
        </is>
      </c>
    </row>
    <row r="66" ht="57.5" customHeight="1" s="31">
      <c r="A66" s="2" t="n">
        <v>58</v>
      </c>
      <c r="B66" s="3" t="inlineStr">
        <is>
          <t>Curriculum — summary of units, BSED</t>
        </is>
      </c>
      <c r="C66" s="3" t="inlineStr">
        <is>
          <t>Checklist item 7.2</t>
        </is>
      </c>
      <c r="D66" s="3" t="inlineStr">
        <is>
          <t>Program Chair Kent E. Garcia</t>
        </is>
      </c>
      <c r="E66" s="3" t="inlineStr">
        <is>
          <t>Vice Dean Ken Gie Anthony G. Cruel (compliance audit); MIS Head Jayson R. Francisco (repository)</t>
        </is>
      </c>
      <c r="F66" s="4" t="n">
        <v>46295</v>
      </c>
      <c r="G66" s="5" t="inlineStr">
        <is>
          <t>For review</t>
        </is>
      </c>
      <c r="H66" s="6" t="n">
        <v>1</v>
      </c>
      <c r="I66" s="7" t="inlineStr">
        <is>
          <t>Unit summary being computed from the draft prospectus. Use the BSCRIM summary table format: units by category code, then total. Programme Chairs agreed in principle on a 14-week term (not yet final) — see Open Item 1.</t>
        </is>
      </c>
    </row>
    <row r="67" ht="35" customHeight="1" s="31">
      <c r="A67" s="2" t="n">
        <v>59</v>
      </c>
      <c r="B67" s="3" t="inlineStr">
        <is>
          <t>Updated trimester curriculum — list of subjects with GE and Specialized identified, BSED</t>
        </is>
      </c>
      <c r="C67" s="3" t="inlineStr">
        <is>
          <t>Checklist item 9.1</t>
        </is>
      </c>
      <c r="D67" s="3" t="inlineStr">
        <is>
          <t>Program Chair Kent E. Garcia</t>
        </is>
      </c>
      <c r="E67" s="3" t="inlineStr">
        <is>
          <t>Vice Dean Ken Gie Anthony G. Cruel (compliance audit); MIS Head Jayson R. Francisco (repository)</t>
        </is>
      </c>
      <c r="F67" s="4" t="n">
        <v>46295</v>
      </c>
      <c r="G67" s="5" t="inlineStr">
        <is>
          <t>For review</t>
        </is>
      </c>
      <c r="H67" s="6" t="n">
        <v>1</v>
      </c>
      <c r="I67" s="7" t="inlineStr">
        <is>
          <t>General education courses are identifiable by code in the draft prospectus; the formal GE versus Specialised tagging sheet is still to be produced.</t>
        </is>
      </c>
    </row>
    <row r="68" ht="135.75" customHeight="1" s="31">
      <c r="A68" s="2" t="n">
        <v>60</v>
      </c>
      <c r="B68" s="3" t="inlineStr">
        <is>
          <t>Updated trimester curriculum — sample schedule (Trimesters 1, 2 and 3), BSED</t>
        </is>
      </c>
      <c r="C68" s="3" t="inlineStr">
        <is>
          <t>Checklist item 9.2</t>
        </is>
      </c>
      <c r="D68" s="3" t="inlineStr">
        <is>
          <t>Program Chair Kent E. Garcia</t>
        </is>
      </c>
      <c r="E68" s="3" t="inlineStr">
        <is>
          <t>Vice Dean Ken Gie Anthony G. Cruel (compliance audit); MIS Head Jayson R. Francisco (repository)</t>
        </is>
      </c>
      <c r="F68" s="4" t="n">
        <v>46304</v>
      </c>
      <c r="G68" s="5" t="inlineStr">
        <is>
          <t>Not started</t>
        </is>
      </c>
      <c r="H68" s="6" t="n">
        <v>0</v>
      </c>
      <c r="I68" s="7" t="inlineStr">
        <is>
          <t>The proposed AY 2027-2028 calendar is in place and the college-wide contact-hour standard is set at 54 hours per 3-unit subject. The weekly schedule grid is still blank and cannot be built until the 14-week question is settled: at 15 weeks a 3-unit subject runs 216 minutes a week, which divides into whole periods (2 x 108, 3 x 72 or 4 x 54 minutes); at 14 weeks it runs 231.4 minutes, which divides into none. The grid must also leave room for two examinations (midterm and final) and one monthly assessment per term. Programme Chairs agreed in principle on a 14-week term (not yet final) — see Open Item 1.</t>
        </is>
      </c>
    </row>
    <row r="69" ht="79.75" customHeight="1" s="31">
      <c r="A69" s="2" t="n">
        <v>61</v>
      </c>
      <c r="B69" s="3" t="inlineStr">
        <is>
          <t>Curriculum — course descriptions, BSED</t>
        </is>
      </c>
      <c r="C69" s="3" t="inlineStr">
        <is>
          <t>Checklist item 7.3</t>
        </is>
      </c>
      <c r="D69" s="3" t="inlineStr">
        <is>
          <t>Program Chair Kent E. Garcia</t>
        </is>
      </c>
      <c r="E69" s="3" t="inlineStr">
        <is>
          <t>Vice Dean Ken Gie Anthony G. Cruel (compliance audit); MIS Head Jayson R. Francisco (repository); General Education Syllabi Pool (20 shared GE, PATH-FIT, NSTP and CLE courses, written once for all 8 programs); 14 full-time BSED faculty</t>
        </is>
      </c>
      <c r="F69" s="4" t="n">
        <v>46304</v>
      </c>
      <c r="G69" s="5" t="inlineStr">
        <is>
          <t>For review</t>
        </is>
      </c>
      <c r="H69" s="6" t="n">
        <v>1</v>
      </c>
      <c r="I69" s="7" t="inlineStr">
        <is>
          <t>Awaiting the curriculum template.</t>
        </is>
      </c>
    </row>
    <row r="70" ht="79.75" customHeight="1" s="31">
      <c r="A70" s="2" t="n">
        <v>62</v>
      </c>
      <c r="B70" s="3" t="inlineStr">
        <is>
          <t>Curriculum — course syllabi (outcomes-based), BSED</t>
        </is>
      </c>
      <c r="C70" s="3" t="inlineStr">
        <is>
          <t>Checklist item 7.4</t>
        </is>
      </c>
      <c r="D70" s="3" t="inlineStr">
        <is>
          <t>Program Chair Kent E. Garcia</t>
        </is>
      </c>
      <c r="E70" s="3" t="inlineStr">
        <is>
          <t>Vice Dean Ken Gie Anthony G. Cruel (compliance audit); MIS Head Jayson R. Francisco (repository); General Education Syllabi Pool (20 shared GE, PATH-FIT, NSTP and CLE courses, written once for all 8 programs); 14 full-time BSED faculty</t>
        </is>
      </c>
      <c r="F70" s="4" t="n">
        <v>46311</v>
      </c>
      <c r="G70" s="5" t="inlineStr">
        <is>
          <t>In progress</t>
        </is>
      </c>
      <c r="H70" s="6" t="n">
        <v>0</v>
      </c>
      <c r="I70" s="7" t="inlineStr">
        <is>
          <t>ASSESSMENT SCHEME confirmed by the Vice Dean, 3 Sep 2026: two examinations per term (midterm and final), one required monthly assessment, plus regular quizzes and activities. Every syllabus must carry this scheme.</t>
        </is>
      </c>
    </row>
    <row r="71" ht="15" customHeight="1" s="31">
      <c r="A71" s="27" t="inlineStr">
        <is>
          <t>AREA E — LIBRARY</t>
        </is>
      </c>
      <c r="B71" s="28" t="n"/>
      <c r="C71" s="28" t="n"/>
      <c r="D71" s="28" t="n"/>
      <c r="E71" s="28" t="n"/>
      <c r="F71" s="28" t="n"/>
      <c r="G71" s="28" t="n"/>
      <c r="H71" s="28" t="n"/>
      <c r="I71" s="29" t="n"/>
    </row>
    <row r="72" ht="79.75" customHeight="1" s="31">
      <c r="A72" s="2" t="n">
        <v>63</v>
      </c>
      <c r="B72" s="3" t="inlineStr">
        <is>
          <t>Librarian — qualification and status per appointment</t>
        </is>
      </c>
      <c r="C72" s="3" t="inlineStr">
        <is>
          <t>Checklist item 8.1</t>
        </is>
      </c>
      <c r="D72" s="3" t="inlineStr">
        <is>
          <t>Library Lead Annabelle Pastrana</t>
        </is>
      </c>
      <c r="E72" s="3" t="inlineStr">
        <is>
          <t>HR Officer Ellarein Richelle Dela Cruz</t>
        </is>
      </c>
      <c r="F72" s="4" t="n">
        <v>46295</v>
      </c>
      <c r="G72" s="5" t="inlineStr">
        <is>
          <t>Not started</t>
        </is>
      </c>
      <c r="H72" s="6" t="n">
        <v>0</v>
      </c>
      <c r="I72" s="7" t="inlineStr">
        <is>
          <t>There is no appointed head librarian. Annabelle Pastrana acts as Library Lead in the meantime; Sta. Cruz and Bernardo complete the library team. This item asks for the librarian's qualification and status per appointment, so a designation memo naming Ms. Pastrana as Officer-in-Charge must be issued and attached — the name alone will not close this row.</t>
        </is>
      </c>
    </row>
    <row r="73" ht="23.75" customHeight="1" s="31">
      <c r="A73" s="2" t="n">
        <v>64</v>
      </c>
      <c r="B73" s="3" t="inlineStr">
        <is>
          <t>List of library facilities</t>
        </is>
      </c>
      <c r="C73" s="3" t="inlineStr">
        <is>
          <t>Checklist item 8.2</t>
        </is>
      </c>
      <c r="D73" s="3" t="inlineStr">
        <is>
          <t>Library Lead Annabelle Pastrana</t>
        </is>
      </c>
      <c r="E73" s="3" t="inlineStr">
        <is>
          <t>VPAA / VP Admin &amp; Finance Dr. Raquel T. Sta. Ines</t>
        </is>
      </c>
      <c r="F73" s="4" t="n">
        <v>46295</v>
      </c>
      <c r="G73" s="5" t="inlineStr">
        <is>
          <t>Not started</t>
        </is>
      </c>
      <c r="H73" s="6" t="n">
        <v>0</v>
      </c>
      <c r="I73" s="7" t="n"/>
    </row>
    <row r="74" ht="23.75" customHeight="1" s="31">
      <c r="A74" s="2" t="n">
        <v>65</v>
      </c>
      <c r="B74" s="3" t="inlineStr">
        <is>
          <t>Library seating capacity</t>
        </is>
      </c>
      <c r="C74" s="3" t="inlineStr">
        <is>
          <t>Checklist item 8.3</t>
        </is>
      </c>
      <c r="D74" s="3" t="inlineStr">
        <is>
          <t>Library Lead Annabelle Pastrana</t>
        </is>
      </c>
      <c r="E74" s="3" t="inlineStr">
        <is>
          <t>VPAA / VP Admin &amp; Finance Dr. Raquel T. Sta. Ines</t>
        </is>
      </c>
      <c r="F74" s="4" t="n">
        <v>46295</v>
      </c>
      <c r="G74" s="5" t="inlineStr">
        <is>
          <t>Not started</t>
        </is>
      </c>
      <c r="H74" s="6" t="n">
        <v>0</v>
      </c>
      <c r="I74" s="7" t="n"/>
    </row>
    <row r="75" ht="57.5" customHeight="1" s="31">
      <c r="A75" s="2" t="n">
        <v>66</v>
      </c>
      <c r="B75" s="3" t="inlineStr">
        <is>
          <t>Library collections spreadsheet (books, journals, magazines, dictionaries, almanacs) — author, title, year of publication, number of volumes</t>
        </is>
      </c>
      <c r="C75" s="3" t="inlineStr">
        <is>
          <t>Checklist item 8.4.1</t>
        </is>
      </c>
      <c r="D75" s="3" t="inlineStr">
        <is>
          <t>Library Lead Annabelle Pastrana</t>
        </is>
      </c>
      <c r="E75" s="3" t="inlineStr">
        <is>
          <t>Sta. Cruz (also Teacher Education faculty); Bernardo (also Hospitality Management faculty); Library Collection Committee — full-time faculty, one per department</t>
        </is>
      </c>
      <c r="F75" s="4" t="n">
        <v>46304</v>
      </c>
      <c r="G75" s="5" t="inlineStr">
        <is>
          <t>Not started</t>
        </is>
      </c>
      <c r="H75" s="6" t="n">
        <v>0</v>
      </c>
      <c r="I75" s="7" t="n"/>
    </row>
    <row r="76" ht="46.25" customHeight="1" s="31">
      <c r="A76" s="2" t="n">
        <v>67</v>
      </c>
      <c r="B76" s="3" t="inlineStr">
        <is>
          <t>List of 5 non-duplicated titles per subject in the curriculum, published within the last 5 years</t>
        </is>
      </c>
      <c r="C76" s="3" t="inlineStr">
        <is>
          <t>Checklist item 8.4.2</t>
        </is>
      </c>
      <c r="D76" s="3" t="inlineStr">
        <is>
          <t>Library Lead Annabelle Pastrana</t>
        </is>
      </c>
      <c r="E76" s="3" t="inlineStr">
        <is>
          <t>Sta. Cruz; Bernardo; All 8 Program Chairs (subject lists); Library Collection Committee — full-time faculty, one per department</t>
        </is>
      </c>
      <c r="F76" s="4" t="n">
        <v>46311</v>
      </c>
      <c r="G76" s="5" t="inlineStr">
        <is>
          <t>Not started</t>
        </is>
      </c>
      <c r="H76" s="6" t="n">
        <v>0</v>
      </c>
      <c r="I76" s="7" t="inlineStr">
        <is>
          <t>Project plan reads this as titles published 2021-2026. Depends on the curriculum subject lists (item 9.1) for all 8 programs.</t>
        </is>
      </c>
    </row>
    <row r="77" ht="35" customHeight="1" s="31">
      <c r="A77" s="2" t="n">
        <v>68</v>
      </c>
      <c r="B77" s="3" t="inlineStr">
        <is>
          <t>List of book collections / accessioned books (start-up 3,000 books; recognition 5,000 books)</t>
        </is>
      </c>
      <c r="C77" s="3" t="inlineStr">
        <is>
          <t>Checklist item 8.4.3</t>
        </is>
      </c>
      <c r="D77" s="3" t="inlineStr">
        <is>
          <t>Library Lead Annabelle Pastrana</t>
        </is>
      </c>
      <c r="E77" s="3" t="inlineStr">
        <is>
          <t>Sta. Cruz (also Teacher Education faculty); Bernardo (also Hospitality Management faculty)</t>
        </is>
      </c>
      <c r="F77" s="4" t="n">
        <v>46311</v>
      </c>
      <c r="G77" s="5" t="inlineStr">
        <is>
          <t>Not started</t>
        </is>
      </c>
      <c r="H77" s="6" t="n">
        <v>0</v>
      </c>
      <c r="I77" s="7" t="inlineStr">
        <is>
          <t>OPEN ITEM 3 — confirm whether the 3,000 or the 5,000 threshold applies to a trimestral conversion of existing programs.</t>
        </is>
      </c>
    </row>
    <row r="78" ht="35" customHeight="1" s="31">
      <c r="A78" s="2" t="n">
        <v>69</v>
      </c>
      <c r="B78" s="3" t="inlineStr">
        <is>
          <t>List of subscribed journals</t>
        </is>
      </c>
      <c r="C78" s="3" t="inlineStr">
        <is>
          <t>Checklist item 8.4.4</t>
        </is>
      </c>
      <c r="D78" s="3" t="inlineStr">
        <is>
          <t>Library Lead Annabelle Pastrana</t>
        </is>
      </c>
      <c r="E78" s="3" t="inlineStr">
        <is>
          <t>Sta. Cruz (also Teacher Education faculty); Bernardo (also Hospitality Management faculty)</t>
        </is>
      </c>
      <c r="F78" s="4" t="n">
        <v>46304</v>
      </c>
      <c r="G78" s="5" t="inlineStr">
        <is>
          <t>Not started</t>
        </is>
      </c>
      <c r="H78" s="6" t="n">
        <v>0</v>
      </c>
      <c r="I78" s="7" t="n"/>
    </row>
    <row r="79" ht="15" customHeight="1" s="31">
      <c r="A79" s="27" t="inlineStr">
        <is>
          <t>AREA F — CONSOLIDATION &amp; FILING  (from the internal project plan — not items on the CHED checklist)</t>
        </is>
      </c>
      <c r="B79" s="28" t="n"/>
      <c r="C79" s="28" t="n"/>
      <c r="D79" s="28" t="n"/>
      <c r="E79" s="28" t="n"/>
      <c r="F79" s="28" t="n"/>
      <c r="G79" s="28" t="n"/>
      <c r="H79" s="28" t="n"/>
      <c r="I79" s="29" t="n"/>
    </row>
    <row r="80" ht="23.75" customHeight="1" s="31">
      <c r="A80" s="2" t="n">
        <v>70</v>
      </c>
      <c r="B80" s="3" t="inlineStr">
        <is>
          <t>Index, print, digitise and assemble the hard copy and soft copy master application binders</t>
        </is>
      </c>
      <c r="C80" s="3" t="inlineStr">
        <is>
          <t>Internal — project plan Phase 3</t>
        </is>
      </c>
      <c r="D80" s="3" t="inlineStr">
        <is>
          <t>MIS Head Jayson R. Francisco</t>
        </is>
      </c>
      <c r="E80" s="3" t="inlineStr">
        <is>
          <t>Admin staff; Vice Dean Ken Gie Anthony G. Cruel</t>
        </is>
      </c>
      <c r="F80" s="4" t="n">
        <v>46332</v>
      </c>
      <c r="G80" s="5" t="inlineStr">
        <is>
          <t>Not started</t>
        </is>
      </c>
      <c r="H80" s="6" t="n">
        <v>0</v>
      </c>
      <c r="I80" s="7" t="inlineStr">
        <is>
          <t>OPEN ITEM 4 — number of binder copies required by CHED Region III not yet confirmed.</t>
        </is>
      </c>
    </row>
    <row r="81" ht="23.75" customHeight="1" s="31">
      <c r="A81" s="2" t="n">
        <v>71</v>
      </c>
      <c r="B81" s="3" t="inlineStr">
        <is>
          <t>Secure executive endorsement of the completed dossier</t>
        </is>
      </c>
      <c r="C81" s="3" t="inlineStr">
        <is>
          <t>Internal — project plan Phase 4</t>
        </is>
      </c>
      <c r="D81" s="3" t="inlineStr">
        <is>
          <t>Vice Dean Ken Gie Anthony G. Cruel</t>
        </is>
      </c>
      <c r="E81" s="3" t="inlineStr">
        <is>
          <t>Dean Dr. Almario B. Garcia; VPAA Dr. Raquel T. Sta. Ines</t>
        </is>
      </c>
      <c r="F81" s="4" t="n">
        <v>46336</v>
      </c>
      <c r="G81" s="5" t="inlineStr">
        <is>
          <t>Not started</t>
        </is>
      </c>
      <c r="H81" s="6" t="n">
        <v>0</v>
      </c>
      <c r="I81" s="7" t="n"/>
    </row>
    <row r="82" ht="23.75" customHeight="1" s="31">
      <c r="A82" s="2" t="n">
        <v>72</v>
      </c>
      <c r="B82" s="3" t="inlineStr">
        <is>
          <t>File the application dossier with CHED Region III and secure the receiving copy</t>
        </is>
      </c>
      <c r="C82" s="3" t="inlineStr">
        <is>
          <t>Internal — project plan Phase 4</t>
        </is>
      </c>
      <c r="D82" s="3" t="inlineStr">
        <is>
          <t>Vice Dean Ken Gie Anthony G. Cruel</t>
        </is>
      </c>
      <c r="E82" s="3" t="inlineStr">
        <is>
          <t>MIS Head Jayson R. Francisco; administrative staff</t>
        </is>
      </c>
      <c r="F82" s="4" t="n">
        <v>46339</v>
      </c>
      <c r="G82" s="5" t="inlineStr">
        <is>
          <t>Not started</t>
        </is>
      </c>
      <c r="H82" s="6" t="n">
        <v>0</v>
      </c>
      <c r="I82" s="7" t="inlineStr">
        <is>
          <t>Target submission date set by Council Resolution 2026-08-03.</t>
        </is>
      </c>
    </row>
    <row r="83" ht="113.5" customHeight="1" s="31">
      <c r="A83" s="2" t="n">
        <v>73</v>
      </c>
      <c r="B83" s="3" t="inlineStr">
        <is>
          <t>Secure written clarification from CHED Region III on the five unresolved requirement questions</t>
        </is>
      </c>
      <c r="C83" s="3" t="inlineStr">
        <is>
          <t>Internal — raised by the Vice Dean, 3 Sep 2026</t>
        </is>
      </c>
      <c r="D83" s="3" t="inlineStr">
        <is>
          <t>MIS Head Jayson R. Francisco</t>
        </is>
      </c>
      <c r="E83" s="3" t="inlineStr">
        <is>
          <t>Vice Dean Ken Gie Anthony G. Cruel</t>
        </is>
      </c>
      <c r="F83" s="4" t="n">
        <v>46290</v>
      </c>
      <c r="G83" s="5" t="inlineStr">
        <is>
          <t>Not started</t>
        </is>
      </c>
      <c r="H83" s="6" t="n">
        <v>0</v>
      </c>
      <c r="I83" s="7" t="inlineStr">
        <is>
          <t>Covers Open Items 2 to 5 — the questions only CHED Region III can answer. (Open Item 1, the 14-versus-15-week term length, is for the Council of Chairs, not CHED.) The questions are: which form is meant by 'CHED Program Evaluation'; which issuance governs a shift to trimestral delivery; whether the 3,000 or 5,000 book threshold applies to a conversion of existing programmes; how many hard and soft copies Region III requires; and whether syllabi are needed for every course or only new and re-sequenced ones. The syllabi question is the one that matters most — it drives the 16 October deadline on items 15 to 62, which is why this is dated 25 September.</t>
        </is>
      </c>
    </row>
  </sheetData>
  <autoFilter ref="A4:I83"/>
  <mergeCells count="8">
    <mergeCell ref="A15:I15"/>
    <mergeCell ref="A2:I2"/>
    <mergeCell ref="A71:I71"/>
    <mergeCell ref="A5:I5"/>
    <mergeCell ref="A1:I1"/>
    <mergeCell ref="A79:I79"/>
    <mergeCell ref="A8:I8"/>
    <mergeCell ref="A22:I22"/>
  </mergeCells>
  <conditionalFormatting sqref="A5:I83">
    <cfRule type="expression" priority="2" dxfId="7">
      <formula>AND(ISNUMBER($F5),$F5&lt;TODAY(),$G5&lt;&gt;"Done")</formula>
    </cfRule>
    <cfRule type="expression" priority="3" dxfId="6">
      <formula>AND(ISNUMBER($F5),$F5&gt;=TODAY(),$F5&lt;=TODAY()+7,$G5&lt;&gt;"Done")</formula>
    </cfRule>
  </conditionalFormatting>
  <conditionalFormatting sqref="G5:G83">
    <cfRule type="expression" priority="4" dxfId="2">
      <formula>$G5="Done"</formula>
    </cfRule>
    <cfRule type="expression" priority="5" dxfId="0">
      <formula>$G5="For review"</formula>
    </cfRule>
    <cfRule type="expression" priority="6" dxfId="1">
      <formula>$G5="In progress"</formula>
    </cfRule>
  </conditionalFormatting>
  <dataValidations count="1">
    <dataValidation sqref="G5:G83" showDropDown="0" showInputMessage="0" showErrorMessage="0" allowBlank="0" errorTitle="Fixed status list" error="Use one of: Not started, In progress, For review, Done" type="list">
      <formula1>"Not started,In progress,For review,Done"</formula1>
      <formula2>0</formula2>
    </dataValidation>
  </dataValidations>
  <pageMargins left="0.75" right="0.75" top="1" bottom="1" header="0.511811023622047" footer="0.511811023622047"/>
  <pageSetup orientation="landscape" fitToHeight="0" horizontalDpi="300" verticalDpi="300"/>
</worksheet>
</file>

<file path=xl/worksheets/sheet2.xml><?xml version="1.0" encoding="utf-8"?>
<worksheet xmlns="http://schemas.openxmlformats.org/spreadsheetml/2006/main">
  <sheetPr>
    <outlinePr summaryBelow="1" summaryRight="1"/>
    <pageSetUpPr fitToPage="1"/>
  </sheetPr>
  <dimension ref="A1:E57"/>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50" customWidth="1" style="31" min="2" max="2"/>
    <col width="28" customWidth="1" style="31" min="3" max="3"/>
    <col width="34" customWidth="1" style="31" min="4" max="4"/>
    <col width="16" customWidth="1" style="31" min="5" max="5"/>
  </cols>
  <sheetData>
    <row r="1" ht="16.25" customHeight="1" s="31">
      <c r="A1" s="32" t="inlineStr">
        <is>
          <t>ASSIGNMENT MATRIX — WHO OWNS WHAT</t>
        </is>
      </c>
    </row>
    <row r="2" ht="33.75" customHeight="1" s="31">
      <c r="A2" s="30" t="inlineStr">
        <is>
          <t>Item numbers refer to the # column on the Tracker sheet. Owner means one person is accountable for delivering that document; Support means they must supply input, but the Owner answers for it. Only full-time faculty are tasked — the 21 part-time faculty remain on the Faculty sheet for checklist item 5.1 but carry no project work. Because BSA, BSAIS and BSCS have no full-time faculty besides their Chair, manpower is borrowed through two college-wide pools.</t>
        </is>
      </c>
    </row>
    <row r="4" ht="30" customHeight="1" s="31">
      <c r="A4" s="1" t="inlineStr">
        <is>
          <t>Person or Office</t>
        </is>
      </c>
      <c r="B4" s="1" t="inlineStr">
        <is>
          <t>Role in project</t>
        </is>
      </c>
      <c r="C4" s="1" t="inlineStr">
        <is>
          <t>Items owned</t>
        </is>
      </c>
      <c r="D4" s="1" t="inlineStr">
        <is>
          <t>Items supporting</t>
        </is>
      </c>
      <c r="E4" s="1" t="inlineStr">
        <is>
          <t>Nearest due date</t>
        </is>
      </c>
    </row>
    <row r="5" ht="15" customHeight="1" s="31">
      <c r="A5" s="27" t="inlineStr">
        <is>
          <t>LEADS, OFFICES AND PROGRAM CHAIRS</t>
        </is>
      </c>
      <c r="B5" s="28" t="n"/>
      <c r="C5" s="28" t="n"/>
      <c r="D5" s="28" t="n"/>
      <c r="E5" s="29" t="n"/>
    </row>
    <row r="6" ht="46.25" customHeight="1" s="31">
      <c r="A6" s="8" t="inlineStr">
        <is>
          <t>Vice Dean Ken Gie Anthony G. Cruel</t>
        </is>
      </c>
      <c r="B6" s="8" t="inlineStr">
        <is>
          <t>Co-Lead, CHED Application Task Force; Program Chair for BSA and BSAIS; overall compliance audit and filing. Sole full-time author for the programme-specialised accountancy and AIS courses — see Open Item 9</t>
        </is>
      </c>
      <c r="C6" s="8" t="inlineStr">
        <is>
          <t>16 items: #2–3, 15–26, 71–72</t>
        </is>
      </c>
      <c r="D6" s="8" t="inlineStr">
        <is>
          <t>46 items: #1, 4, 6, 8–9, 11–12, 27–62, 67, 70, 73</t>
        </is>
      </c>
      <c r="E6" s="9">
        <f>IF(COUNTIFS(Tracker!$D$5:$D$83,$A6,Tracker!$G$5:$G$83,"&lt;&gt;Done")=0,"—",_xlfn.MINIFS(Tracker!$F$5:$F$83,Tracker!$D$5:$D$83,$A6,Tracker!$G$5:$G$83,"&lt;&gt;Done"))</f>
        <v/>
      </c>
    </row>
    <row r="7" ht="57.5" customHeight="1" s="31">
      <c r="A7" s="8" t="inlineStr">
        <is>
          <t>MIS Head Jayson R. Francisco</t>
        </is>
      </c>
      <c r="B7" s="8" t="inlineStr">
        <is>
          <t>Co-Lead, CHED Application Task Force; owner of the transmittal letter and minutes package (item 1, transferred 3 Sep 2026); chairs the Feasibility &amp; Market Study Committee; document repository and binder assembly; carries the outstanding CHED Region III questions (item 73)</t>
        </is>
      </c>
      <c r="C7" s="8" t="inlineStr">
        <is>
          <t>6 items: #1, 4–6, 70, 73</t>
        </is>
      </c>
      <c r="D7" s="8" t="inlineStr">
        <is>
          <t>50 items: #7, 15–62, 72</t>
        </is>
      </c>
      <c r="E7" s="9">
        <f>IF(COUNTIFS(Tracker!$D$5:$D$83,$A7,Tracker!$G$5:$G$83,"&lt;&gt;Done")=0,"—",_xlfn.MINIFS(Tracker!$F$5:$F$83,Tracker!$D$5:$D$83,$A7,Tracker!$G$5:$G$83,"&lt;&gt;Done"))</f>
        <v/>
      </c>
    </row>
    <row r="8" ht="46.25" customHeight="1" s="31">
      <c r="A8" s="3" t="inlineStr">
        <is>
          <t>VPAA / VP Admin &amp; Finance Dr. Raquel T. Sta. Ines</t>
        </is>
      </c>
      <c r="B8" s="3" t="inlineStr">
        <is>
          <t>Presiding officer, Council of Program Chairs; signatory and approving authority; also holds the VP for Administration and Finance portfolio, so the non-teaching personnel list and the school location report sit with her office</t>
        </is>
      </c>
      <c r="C8" s="3" t="inlineStr">
        <is>
          <t>2 items: #7, 14</t>
        </is>
      </c>
      <c r="D8" s="3" t="inlineStr">
        <is>
          <t>7 items: #1, 3, 10, 13, 64–65, 71</t>
        </is>
      </c>
      <c r="E8" s="4">
        <f>IF(COUNTIFS(Tracker!$D$5:$D$83,$A8,Tracker!$G$5:$G$83,"&lt;&gt;Done")=0,"—",_xlfn.MINIFS(Tracker!$F$5:$F$83,Tracker!$D$5:$D$83,$A8,Tracker!$G$5:$G$83,"&lt;&gt;Done"))</f>
        <v/>
      </c>
    </row>
    <row r="9" ht="46.25" customHeight="1" s="31">
      <c r="A9" s="3" t="inlineStr">
        <is>
          <t>Dean Dr. Almario B. Garcia</t>
        </is>
      </c>
      <c r="B9" s="3" t="inlineStr">
        <is>
          <t>Co-Lead, CHED Application Task Force (added 3 Sep 2026 by direction of the Vice Dean, alongside the Vice Dean and the MIS Head); College Dean; executive endorsement of the completed dossier</t>
        </is>
      </c>
      <c r="C9" s="3" t="inlineStr">
        <is>
          <t>None — support role only</t>
        </is>
      </c>
      <c r="D9" s="3" t="inlineStr">
        <is>
          <t>1 item: #71</t>
        </is>
      </c>
      <c r="E9" s="4">
        <f>IF(COUNTIFS(Tracker!$D$5:$D$83,$A9,Tracker!$G$5:$G$83,"&lt;&gt;Done")=0,"—",_xlfn.MINIFS(Tracker!$F$5:$F$83,Tracker!$D$5:$D$83,$A9,Tracker!$G$5:$G$83,"&lt;&gt;Done"))</f>
        <v/>
      </c>
    </row>
    <row r="10" ht="15" customHeight="1" s="31">
      <c r="A10" s="3" t="inlineStr">
        <is>
          <t>HR Officer Ellarein Richelle Dela Cruz</t>
        </is>
      </c>
      <c r="B10" s="3" t="inlineStr">
        <is>
          <t>Owner of all administrator, faculty and personnel records</t>
        </is>
      </c>
      <c r="C10" s="3" t="inlineStr">
        <is>
          <t>5 items: #9–13</t>
        </is>
      </c>
      <c r="D10" s="3" t="inlineStr">
        <is>
          <t>2 items: #14, 63</t>
        </is>
      </c>
      <c r="E10" s="4">
        <f>IF(COUNTIFS(Tracker!$D$5:$D$83,$A10,Tracker!$G$5:$G$83,"&lt;&gt;Done")=0,"—",_xlfn.MINIFS(Tracker!$F$5:$F$83,Tracker!$D$5:$D$83,$A10,Tracker!$G$5:$G$83,"&lt;&gt;Done"))</f>
        <v/>
      </c>
    </row>
    <row r="11" ht="23.75" customHeight="1" s="31">
      <c r="A11" s="3" t="inlineStr">
        <is>
          <t>Library Lead Annabelle Pastrana</t>
        </is>
      </c>
      <c r="B11" s="3" t="inlineStr">
        <is>
          <t>Acting Library Lead — owner of the complete library section; chairs the Library Collection Committee</t>
        </is>
      </c>
      <c r="C11" s="3" t="inlineStr">
        <is>
          <t>7 items: #63–69</t>
        </is>
      </c>
      <c r="D11" s="3" t="inlineStr">
        <is>
          <t>—</t>
        </is>
      </c>
      <c r="E11" s="4">
        <f>IF(COUNTIFS(Tracker!$D$5:$D$83,$A11,Tracker!$G$5:$G$83,"&lt;&gt;Done")=0,"—",_xlfn.MINIFS(Tracker!$F$5:$F$83,Tracker!$D$5:$D$83,$A11,Tracker!$G$5:$G$83,"&lt;&gt;Done"))</f>
        <v/>
      </c>
    </row>
    <row r="12" ht="46.25" customHeight="1" s="31">
      <c r="A12" s="3" t="inlineStr">
        <is>
          <t>Program Chair Kent E. Garcia</t>
        </is>
      </c>
      <c r="B12" s="3" t="inlineStr">
        <is>
          <t>Program Chair, Teacher Education — BEED and BSED curriculum; chairs their Curriculum &amp; Syllabi Committee; his department supplies the General Education Syllabi Pool for the whole college</t>
        </is>
      </c>
      <c r="C12" s="3" t="inlineStr">
        <is>
          <t>12 items: #51–62</t>
        </is>
      </c>
      <c r="D12" s="3" t="inlineStr">
        <is>
          <t>6 items: #2, 4, 6, 11–12, 67</t>
        </is>
      </c>
      <c r="E12" s="4">
        <f>IF(COUNTIFS(Tracker!$D$5:$D$83,$A12,Tracker!$G$5:$G$83,"&lt;&gt;Done")=0,"—",_xlfn.MINIFS(Tracker!$F$5:$F$83,Tracker!$D$5:$D$83,$A12,Tracker!$G$5:$G$83,"&lt;&gt;Done"))</f>
        <v/>
      </c>
    </row>
    <row r="13" ht="35" customHeight="1" s="31">
      <c r="A13" s="3" t="inlineStr">
        <is>
          <t>Program Chair Ranilo S. Castillo II</t>
        </is>
      </c>
      <c r="B13" s="3" t="inlineStr">
        <is>
          <t>Program Chair, Business Administration — BSBA curriculum; his department supplies the Business Cluster Pool for BSA, BSAIS and BSHM</t>
        </is>
      </c>
      <c r="C13" s="3" t="inlineStr">
        <is>
          <t>6 items: #27–32</t>
        </is>
      </c>
      <c r="D13" s="3" t="inlineStr">
        <is>
          <t>6 items: #2, 4, 6, 11–12, 67</t>
        </is>
      </c>
      <c r="E13" s="4">
        <f>IF(COUNTIFS(Tracker!$D$5:$D$83,$A13,Tracker!$G$5:$G$83,"&lt;&gt;Done")=0,"—",_xlfn.MINIFS(Tracker!$F$5:$F$83,Tracker!$D$5:$D$83,$A13,Tracker!$G$5:$G$83,"&lt;&gt;Done"))</f>
        <v/>
      </c>
    </row>
    <row r="14" ht="35" customHeight="1" s="31">
      <c r="A14" s="3" t="inlineStr">
        <is>
          <t>Program Chair John Philip N. Diamat</t>
        </is>
      </c>
      <c r="B14" s="3" t="inlineStr">
        <is>
          <t>Program Chair, Computer Science — BSCS curriculum. Sole full-time author for the programme-specialised computer science courses — see Open Item 9</t>
        </is>
      </c>
      <c r="C14" s="3" t="inlineStr">
        <is>
          <t>6 items: #33–38</t>
        </is>
      </c>
      <c r="D14" s="3" t="inlineStr">
        <is>
          <t>6 items: #2, 4, 6, 11–12, 67</t>
        </is>
      </c>
      <c r="E14" s="4">
        <f>IF(COUNTIFS(Tracker!$D$5:$D$83,$A14,Tracker!$G$5:$G$83,"&lt;&gt;Done")=0,"—",_xlfn.MINIFS(Tracker!$F$5:$F$83,Tracker!$D$5:$D$83,$A14,Tracker!$G$5:$G$83,"&lt;&gt;Done"))</f>
        <v/>
      </c>
    </row>
    <row r="15" ht="23.75" customHeight="1" s="31">
      <c r="A15" s="3" t="inlineStr">
        <is>
          <t>Program Chair Stephanie S. Ciasico</t>
        </is>
      </c>
      <c r="B15" s="3" t="inlineStr">
        <is>
          <t>Program Chair, Hospitality Management — BSHM curriculum; chairs its Curriculum &amp; Syllabi Committee</t>
        </is>
      </c>
      <c r="C15" s="3" t="inlineStr">
        <is>
          <t>6 items: #39–44</t>
        </is>
      </c>
      <c r="D15" s="3" t="inlineStr">
        <is>
          <t>6 items: #2, 4, 6, 11–12, 67</t>
        </is>
      </c>
      <c r="E15" s="4">
        <f>IF(COUNTIFS(Tracker!$D$5:$D$83,$A15,Tracker!$G$5:$G$83,"&lt;&gt;Done")=0,"—",_xlfn.MINIFS(Tracker!$F$5:$F$83,Tracker!$D$5:$D$83,$A15,Tracker!$G$5:$G$83,"&lt;&gt;Done"))</f>
        <v/>
      </c>
    </row>
    <row r="16" ht="23.75" customHeight="1" s="31">
      <c r="A16" s="3" t="inlineStr">
        <is>
          <t>Program Chair Samantha Rose C. Pisto</t>
        </is>
      </c>
      <c r="B16" s="3" t="inlineStr">
        <is>
          <t>Program Chair, Criminal Justice Education — BSCRIM curriculum; chairs its Curriculum &amp; Syllabi Committee</t>
        </is>
      </c>
      <c r="C16" s="3" t="inlineStr">
        <is>
          <t>6 items: #45–50</t>
        </is>
      </c>
      <c r="D16" s="3" t="inlineStr">
        <is>
          <t>6 items: #2, 4, 6, 11–12, 67</t>
        </is>
      </c>
      <c r="E16" s="4">
        <f>IF(COUNTIFS(Tracker!$D$5:$D$83,$A16,Tracker!$G$5:$G$83,"&lt;&gt;Done")=0,"—",_xlfn.MINIFS(Tracker!$F$5:$F$83,Tracker!$D$5:$D$83,$A16,Tracker!$G$5:$G$83,"&lt;&gt;Done"))</f>
        <v/>
      </c>
    </row>
    <row r="17" ht="15" customHeight="1" s="31">
      <c r="A17" s="3" t="inlineStr">
        <is>
          <t>Finance Officer Dana Marcelo</t>
        </is>
      </c>
      <c r="B17" s="3" t="inlineStr">
        <is>
          <t>Trimestral tuition and fee schedule</t>
        </is>
      </c>
      <c r="C17" s="3" t="inlineStr">
        <is>
          <t>1 item: #8</t>
        </is>
      </c>
      <c r="D17" s="3" t="inlineStr">
        <is>
          <t>—</t>
        </is>
      </c>
      <c r="E17" s="4">
        <f>IF(COUNTIFS(Tracker!$D$5:$D$83,$A17,Tracker!$G$5:$G$83,"&lt;&gt;Done")=0,"—",_xlfn.MINIFS(Tracker!$F$5:$F$83,Tracker!$D$5:$D$83,$A17,Tracker!$G$5:$G$83,"&lt;&gt;Done"))</f>
        <v/>
      </c>
    </row>
    <row r="18" ht="23.75" customHeight="1" s="31">
      <c r="A18" s="3" t="inlineStr">
        <is>
          <t>Registrar Laila D. Sarmiento</t>
        </is>
      </c>
      <c r="B18" s="3" t="inlineStr">
        <is>
          <t>Enrolment and prospective-student data for the feasibility study</t>
        </is>
      </c>
      <c r="C18" s="3" t="inlineStr">
        <is>
          <t>None — support role only</t>
        </is>
      </c>
      <c r="D18" s="3" t="inlineStr">
        <is>
          <t>1 item: #5</t>
        </is>
      </c>
      <c r="E18" s="4">
        <f>IF(COUNTIFS(Tracker!$D$5:$D$83,$A18,Tracker!$G$5:$G$83,"&lt;&gt;Done")=0,"—",_xlfn.MINIFS(Tracker!$F$5:$F$83,Tracker!$D$5:$D$83,$A18,Tracker!$G$5:$G$83,"&lt;&gt;Done"))</f>
        <v/>
      </c>
    </row>
    <row r="19" ht="15" customHeight="1" s="31">
      <c r="A19" s="34" t="inlineStr">
        <is>
          <t>ACCOUNTANCY &amp; AIS — Curriculum &amp; Syllabi Committee for BSA and BSAIS (chaired by Vice Dean Cruel)  (NO full-time faculty besides the Chair; 5 part-time not tasked)</t>
        </is>
      </c>
      <c r="B19" s="28" t="n"/>
      <c r="C19" s="28" t="n"/>
      <c r="D19" s="28" t="n"/>
      <c r="E19" s="29" t="n"/>
    </row>
    <row r="20" ht="57.5" customHeight="1" s="31">
      <c r="A20" s="10" t="inlineStr">
        <is>
          <t>— no full-time faculty —</t>
        </is>
      </c>
      <c r="B20" s="10" t="inlineStr">
        <is>
          <t>All programme-specialised course descriptions and syllabi for this department fall to the Chair alone. General education courses are covered by the General Education Syllabi Pool and, where applicable, the Business Cluster Pool. See Open Item 9.</t>
        </is>
      </c>
      <c r="C20" s="10" t="inlineStr">
        <is>
          <t>—</t>
        </is>
      </c>
      <c r="D20" s="10" t="inlineStr">
        <is>
          <t>—</t>
        </is>
      </c>
      <c r="E20" s="11" t="inlineStr">
        <is>
          <t>—</t>
        </is>
      </c>
    </row>
    <row r="21" ht="15" customHeight="1" s="31">
      <c r="A21" s="27" t="inlineStr">
        <is>
          <t>BUSINESS ADMINISTRATION — Curriculum &amp; Syllabi Committee for BSBA (chaired by Chair Castillo)  (4 full-time faculty tasked; 1 part-time not tasked)</t>
        </is>
      </c>
      <c r="B21" s="28" t="n"/>
      <c r="C21" s="28" t="n"/>
      <c r="D21" s="28" t="n"/>
      <c r="E21" s="29" t="n"/>
    </row>
    <row r="22" ht="35" customHeight="1" s="31">
      <c r="A22" s="3" t="inlineStr">
        <is>
          <t>Aquino, Ann Jellie B.</t>
        </is>
      </c>
      <c r="B22" s="3" t="inlineStr">
        <is>
          <t>Curriculum &amp; Syllabi — BSBA; Business Cluster Pool (BSA/BSAIS/BSBA/BSHM); Feasibility &amp; Market Study  [FT, 24 units, 6 preps this semester]</t>
        </is>
      </c>
      <c r="C22" s="3" t="inlineStr">
        <is>
          <t>None — support role only</t>
        </is>
      </c>
      <c r="D22" s="3" t="inlineStr">
        <is>
          <t>11 items: #4–6, 19–20, 25–26, 31–32, 43–44</t>
        </is>
      </c>
      <c r="E22" s="4">
        <f>IF(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99999,"—",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f>
        <v/>
      </c>
    </row>
    <row r="23" ht="35" customHeight="1" s="31">
      <c r="A23" s="3" t="inlineStr">
        <is>
          <t>Bauat, Jhosalyn</t>
        </is>
      </c>
      <c r="B23" s="3" t="inlineStr">
        <is>
          <t>Curriculum &amp; Syllabi — BSBA; Business Cluster Pool (BSA/BSAIS/BSBA/BSHM)  [FT, 24 units, 6 preps this semester]</t>
        </is>
      </c>
      <c r="C23" s="3" t="inlineStr">
        <is>
          <t>None — support role only</t>
        </is>
      </c>
      <c r="D23" s="3" t="inlineStr">
        <is>
          <t>8 items: #19–20, 25–26, 31–32, 43–44</t>
        </is>
      </c>
      <c r="E23"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4" ht="35" customHeight="1" s="31">
      <c r="A24" s="3" t="inlineStr">
        <is>
          <t>Dela Cruz, Jacqueline</t>
        </is>
      </c>
      <c r="B24" s="3" t="inlineStr">
        <is>
          <t>Curriculum &amp; Syllabi — BSBA; Business Cluster Pool (BSA/BSAIS/BSBA/BSHM); Library Collection  [FT, 24 units, 5 preps this semester]</t>
        </is>
      </c>
      <c r="C24" s="3" t="inlineStr">
        <is>
          <t>None — support role only</t>
        </is>
      </c>
      <c r="D24" s="3" t="inlineStr">
        <is>
          <t>10 items: #19–20, 25–26, 31–32, 43–44, 66–67</t>
        </is>
      </c>
      <c r="E24" s="4">
        <f>IF(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99999,"—",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f>
        <v/>
      </c>
    </row>
    <row r="25" ht="35" customHeight="1" s="31">
      <c r="A25" s="3" t="inlineStr">
        <is>
          <t>Salas, Kristine Joy</t>
        </is>
      </c>
      <c r="B25" s="3" t="inlineStr">
        <is>
          <t>Curriculum &amp; Syllabi — BSBA; Business Cluster Pool (BSA/BSAIS/BSBA/BSHM)  [FT, 24 units, 6 preps this semester]</t>
        </is>
      </c>
      <c r="C25" s="3" t="inlineStr">
        <is>
          <t>None — support role only</t>
        </is>
      </c>
      <c r="D25" s="3" t="inlineStr">
        <is>
          <t>8 items: #19–20, 25–26, 31–32, 43–44</t>
        </is>
      </c>
      <c r="E25"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6" ht="15" customHeight="1" s="31">
      <c r="A26" s="27" t="inlineStr">
        <is>
          <t>CRIMINAL JUSTICE EDUCATION — Curriculum &amp; Syllabi Committee for BSCRIM (chaired by Chair Pisto)  (5 full-time faculty tasked; 1 part-time not tasked)</t>
        </is>
      </c>
      <c r="B26" s="28" t="n"/>
      <c r="C26" s="28" t="n"/>
      <c r="D26" s="28" t="n"/>
      <c r="E26" s="29" t="n"/>
    </row>
    <row r="27" ht="23.75" customHeight="1" s="31">
      <c r="A27" s="3" t="inlineStr">
        <is>
          <t>Arimbuyutan, Jazzele M.</t>
        </is>
      </c>
      <c r="B27" s="3" t="inlineStr">
        <is>
          <t>Curriculum &amp; Syllabi — BSCRIM; Feasibility &amp; Market Study  [FT, 21 units, 4 preps this semester]</t>
        </is>
      </c>
      <c r="C27" s="3" t="inlineStr">
        <is>
          <t>None — support role only</t>
        </is>
      </c>
      <c r="D27" s="3" t="inlineStr">
        <is>
          <t>5 items: #4–6, 49–50</t>
        </is>
      </c>
      <c r="E27" s="4">
        <f>IF(MIN(IF(Tracker!$G$10="Done",99999,Tracker!$F$10),IF(Tracker!$G$11="Done",99999,Tracker!$F$11),IF(Tracker!$G$12="Done",99999,Tracker!$F$12),IF(Tracker!$G$57="Done",99999,Tracker!$F$57),IF(Tracker!$G$58="Done",99999,Tracker!$F$58))=99999,"—",MIN(IF(Tracker!$G$10="Done",99999,Tracker!$F$10),IF(Tracker!$G$11="Done",99999,Tracker!$F$11),IF(Tracker!$G$12="Done",99999,Tracker!$F$12),IF(Tracker!$G$57="Done",99999,Tracker!$F$57),IF(Tracker!$G$58="Done",99999,Tracker!$F$58)))</f>
        <v/>
      </c>
    </row>
    <row r="28" ht="23.75" customHeight="1" s="31">
      <c r="A28" s="3" t="inlineStr">
        <is>
          <t>Dela Cruz, Jhon Allen R.</t>
        </is>
      </c>
      <c r="B28" s="3" t="inlineStr">
        <is>
          <t>Curriculum &amp; Syllabi — BSCRIM  [FT, 22 units, 5 preps this semester]</t>
        </is>
      </c>
      <c r="C28" s="3" t="inlineStr">
        <is>
          <t>None — support role only</t>
        </is>
      </c>
      <c r="D28" s="3" t="inlineStr">
        <is>
          <t>2 items: #49–50</t>
        </is>
      </c>
      <c r="E28" s="4">
        <f>IF(MIN(IF(Tracker!$G$57="Done",99999,Tracker!$F$57),IF(Tracker!$G$58="Done",99999,Tracker!$F$58))=99999,"—",MIN(IF(Tracker!$G$57="Done",99999,Tracker!$F$57),IF(Tracker!$G$58="Done",99999,Tracker!$F$58)))</f>
        <v/>
      </c>
    </row>
    <row r="29" ht="23.75" customHeight="1" s="31">
      <c r="A29" s="3" t="inlineStr">
        <is>
          <t>Diaz, Pamela B.</t>
        </is>
      </c>
      <c r="B29" s="3" t="inlineStr">
        <is>
          <t>Curriculum &amp; Syllabi — BSCRIM  [FT, 22 units, 5 preps this semester]</t>
        </is>
      </c>
      <c r="C29" s="3" t="inlineStr">
        <is>
          <t>None — support role only</t>
        </is>
      </c>
      <c r="D29" s="3" t="inlineStr">
        <is>
          <t>2 items: #49–50</t>
        </is>
      </c>
      <c r="E29" s="4">
        <f>IF(MIN(IF(Tracker!$G$57="Done",99999,Tracker!$F$57),IF(Tracker!$G$58="Done",99999,Tracker!$F$58))=99999,"—",MIN(IF(Tracker!$G$57="Done",99999,Tracker!$F$57),IF(Tracker!$G$58="Done",99999,Tracker!$F$58)))</f>
        <v/>
      </c>
    </row>
    <row r="30" ht="23.75" customHeight="1" s="31">
      <c r="A30" s="3" t="inlineStr">
        <is>
          <t>Pamiloza, Honey Mica R.</t>
        </is>
      </c>
      <c r="B30" s="3" t="inlineStr">
        <is>
          <t>Curriculum &amp; Syllabi — BSCRIM  [FT, 21 units, 4 preps this semester]</t>
        </is>
      </c>
      <c r="C30" s="3" t="inlineStr">
        <is>
          <t>None — support role only</t>
        </is>
      </c>
      <c r="D30" s="3" t="inlineStr">
        <is>
          <t>2 items: #49–50</t>
        </is>
      </c>
      <c r="E30" s="4">
        <f>IF(MIN(IF(Tracker!$G$57="Done",99999,Tracker!$F$57),IF(Tracker!$G$58="Done",99999,Tracker!$F$58))=99999,"—",MIN(IF(Tracker!$G$57="Done",99999,Tracker!$F$57),IF(Tracker!$G$58="Done",99999,Tracker!$F$58)))</f>
        <v/>
      </c>
    </row>
    <row r="31" ht="23.75" customHeight="1" s="31">
      <c r="A31" s="3" t="inlineStr">
        <is>
          <t>Ramos, Leandro M.</t>
        </is>
      </c>
      <c r="B31" s="3" t="inlineStr">
        <is>
          <t>Curriculum &amp; Syllabi — BSCRIM; Library Collection  [FT, 18 units, 4 preps this semester]</t>
        </is>
      </c>
      <c r="C31" s="3" t="inlineStr">
        <is>
          <t>None — support role only</t>
        </is>
      </c>
      <c r="D31" s="3" t="inlineStr">
        <is>
          <t>4 items: #49–50, 66–67</t>
        </is>
      </c>
      <c r="E31" s="4">
        <f>IF(MIN(IF(Tracker!$G$57="Done",99999,Tracker!$F$57),IF(Tracker!$G$58="Done",99999,Tracker!$F$58),IF(Tracker!$G$75="Done",99999,Tracker!$F$75),IF(Tracker!$G$76="Done",99999,Tracker!$F$76))=99999,"—",MIN(IF(Tracker!$G$57="Done",99999,Tracker!$F$57),IF(Tracker!$G$58="Done",99999,Tracker!$F$58),IF(Tracker!$G$75="Done",99999,Tracker!$F$75),IF(Tracker!$G$76="Done",99999,Tracker!$F$76)))</f>
        <v/>
      </c>
    </row>
    <row r="32" ht="15" customHeight="1" s="31">
      <c r="A32" s="27" t="inlineStr">
        <is>
          <t>COMPUTER SCIENCE — Curriculum &amp; Syllabi Committee for BSCS (chaired by Chair Diamat)  (1 full-time faculty tasked; 5 part-time not tasked)</t>
        </is>
      </c>
      <c r="B32" s="28" t="n"/>
      <c r="C32" s="28" t="n"/>
      <c r="D32" s="28" t="n"/>
      <c r="E32" s="29" t="n"/>
    </row>
    <row r="33" ht="23.75" customHeight="1" s="31">
      <c r="A33" s="3" t="inlineStr">
        <is>
          <t>Cristobal, Teofilo G.</t>
        </is>
      </c>
      <c r="B33" s="3" t="inlineStr">
        <is>
          <t>Curriculum &amp; Syllabi — BSCS  [FT, 24 units, 3 preps this semester]</t>
        </is>
      </c>
      <c r="C33" s="3" t="inlineStr">
        <is>
          <t>None — support role only</t>
        </is>
      </c>
      <c r="D33" s="3" t="inlineStr">
        <is>
          <t>2 items: #37–38</t>
        </is>
      </c>
      <c r="E33" s="4">
        <f>IF(MIN(IF(Tracker!$G$45="Done",99999,Tracker!$F$45),IF(Tracker!$G$46="Done",99999,Tracker!$F$46))=99999,"—",MIN(IF(Tracker!$G$45="Done",99999,Tracker!$F$45),IF(Tracker!$G$46="Done",99999,Tracker!$F$46)))</f>
        <v/>
      </c>
    </row>
    <row r="34" ht="15" customHeight="1" s="31">
      <c r="A34" s="27" t="inlineStr">
        <is>
          <t>HOSPITALITY MANAGEMENT — Curriculum &amp; Syllabi Committee for BSHM (chaired by Chair Ciasico)  (3 full-time faculty tasked; 5 part-time not tasked)</t>
        </is>
      </c>
      <c r="B34" s="28" t="n"/>
      <c r="C34" s="28" t="n"/>
      <c r="D34" s="28" t="n"/>
      <c r="E34" s="29" t="n"/>
    </row>
    <row r="35" ht="23.75" customHeight="1" s="31">
      <c r="A35" s="3" t="inlineStr">
        <is>
          <t>Bernardo, Romeo DG</t>
        </is>
      </c>
      <c r="B35" s="3" t="inlineStr">
        <is>
          <t>Curriculum &amp; Syllabi — BSHM; Library Collection  [FT, 21 units, 4 preps this semester]</t>
        </is>
      </c>
      <c r="C35" s="3" t="inlineStr">
        <is>
          <t>None — support role only</t>
        </is>
      </c>
      <c r="D35" s="3" t="inlineStr">
        <is>
          <t>6 items: #43–44, 66–69</t>
        </is>
      </c>
      <c r="E35" s="4">
        <f>IF(MIN(IF(Tracker!$G$51="Done",99999,Tracker!$F$51),IF(Tracker!$G$52="Done",99999,Tracker!$F$52),IF(Tracker!$G$75="Done",99999,Tracker!$F$75),IF(Tracker!$G$76="Done",99999,Tracker!$F$76),IF(Tracker!$G$77="Done",99999,Tracker!$F$77),IF(Tracker!$G$78="Done",99999,Tracker!$F$78))=99999,"—",MIN(IF(Tracker!$G$51="Done",99999,Tracker!$F$51),IF(Tracker!$G$52="Done",99999,Tracker!$F$52),IF(Tracker!$G$75="Done",99999,Tracker!$F$75),IF(Tracker!$G$76="Done",99999,Tracker!$F$76),IF(Tracker!$G$77="Done",99999,Tracker!$F$77),IF(Tracker!$G$78="Done",99999,Tracker!$F$78)))</f>
        <v/>
      </c>
    </row>
    <row r="36" ht="23.75" customHeight="1" s="31">
      <c r="A36" s="3" t="inlineStr">
        <is>
          <t>Dela Cruz, Jonathan</t>
        </is>
      </c>
      <c r="B36" s="3" t="inlineStr">
        <is>
          <t>Curriculum &amp; Syllabi — BSHM; Feasibility &amp; Market Study  [FT, 18 units, 4 preps this semester]</t>
        </is>
      </c>
      <c r="C36" s="3" t="inlineStr">
        <is>
          <t>None — support role only</t>
        </is>
      </c>
      <c r="D36" s="3" t="inlineStr">
        <is>
          <t>5 items: #4–6, 43–44</t>
        </is>
      </c>
      <c r="E36" s="4">
        <f>IF(MIN(IF(Tracker!$G$10="Done",99999,Tracker!$F$10),IF(Tracker!$G$11="Done",99999,Tracker!$F$11),IF(Tracker!$G$12="Done",99999,Tracker!$F$12),IF(Tracker!$G$51="Done",99999,Tracker!$F$51),IF(Tracker!$G$52="Done",99999,Tracker!$F$52))=99999,"—",MIN(IF(Tracker!$G$10="Done",99999,Tracker!$F$10),IF(Tracker!$G$11="Done",99999,Tracker!$F$11),IF(Tracker!$G$12="Done",99999,Tracker!$F$12),IF(Tracker!$G$51="Done",99999,Tracker!$F$51),IF(Tracker!$G$52="Done",99999,Tracker!$F$52)))</f>
        <v/>
      </c>
    </row>
    <row r="37" ht="23.75" customHeight="1" s="31">
      <c r="A37" s="3" t="inlineStr">
        <is>
          <t>Geronimo, Jing Feng A., LPT</t>
        </is>
      </c>
      <c r="B37" s="3" t="inlineStr">
        <is>
          <t>Curriculum &amp; Syllabi — BSHM  [FT, 24 units, 4 preps this semester]</t>
        </is>
      </c>
      <c r="C37" s="3" t="inlineStr">
        <is>
          <t>None — support role only</t>
        </is>
      </c>
      <c r="D37" s="3" t="inlineStr">
        <is>
          <t>2 items: #43–44</t>
        </is>
      </c>
      <c r="E37" s="4">
        <f>IF(MIN(IF(Tracker!$G$51="Done",99999,Tracker!$F$51),IF(Tracker!$G$52="Done",99999,Tracker!$F$52))=99999,"—",MIN(IF(Tracker!$G$51="Done",99999,Tracker!$F$51),IF(Tracker!$G$52="Done",99999,Tracker!$F$52)))</f>
        <v/>
      </c>
    </row>
    <row r="38" ht="15" customHeight="1" s="31">
      <c r="A38" s="27" t="inlineStr">
        <is>
          <t>TEACHER EDUCATION — Curriculum &amp; Syllabi Committee for BEED and BSED (chaired by Chair K. Garcia)  (14 full-time faculty tasked; 4 part-time not tasked)</t>
        </is>
      </c>
      <c r="B38" s="28" t="n"/>
      <c r="C38" s="28" t="n"/>
      <c r="D38" s="28" t="n"/>
      <c r="E38" s="29" t="n"/>
    </row>
    <row r="39" ht="23.75" customHeight="1" s="31">
      <c r="A39" s="3" t="inlineStr">
        <is>
          <t>Ablaya, Stephanie</t>
        </is>
      </c>
      <c r="B39" s="3" t="inlineStr">
        <is>
          <t>Curriculum &amp; Syllabi — BEED/BSED; Feasibility &amp; Market Study  [FT, 27 units, 6 preps this semester]</t>
        </is>
      </c>
      <c r="C39" s="3" t="inlineStr">
        <is>
          <t>None — support role only</t>
        </is>
      </c>
      <c r="D39" s="3" t="inlineStr">
        <is>
          <t>7 items: #4–6, 55–56, 61–62</t>
        </is>
      </c>
      <c r="E39" s="4">
        <f>IF(MIN(IF(Tracker!$G$10="Done",99999,Tracker!$F$10),IF(Tracker!$G$11="Done",99999,Tracker!$F$11),IF(Tracker!$G$12="Done",99999,Tracker!$F$12),IF(Tracker!$G$63="Done",99999,Tracker!$F$63),IF(Tracker!$G$64="Done",99999,Tracker!$F$64),IF(Tracker!$G$69="Done",99999,Tracker!$F$69),IF(Tracker!$G$70="Done",99999,Tracker!$F$70))=99999,"—",MIN(IF(Tracker!$G$10="Done",99999,Tracker!$F$10),IF(Tracker!$G$11="Done",99999,Tracker!$F$11),IF(Tracker!$G$12="Done",99999,Tracker!$F$12),IF(Tracker!$G$63="Done",99999,Tracker!$F$63),IF(Tracker!$G$64="Done",99999,Tracker!$F$64),IF(Tracker!$G$69="Done",99999,Tracker!$F$69),IF(Tracker!$G$70="Done",99999,Tracker!$F$70)))</f>
        <v/>
      </c>
    </row>
    <row r="40" ht="35" customHeight="1" s="31">
      <c r="A40" s="3" t="inlineStr">
        <is>
          <t>Aquino, Agnes M., Dr.</t>
        </is>
      </c>
      <c r="B40" s="3" t="inlineStr">
        <is>
          <t>Curriculum &amp; Syllabi — BEED/BSED; General Education Syllabi Pool (college-wide)  [FT, 24 units, 7 preps this semester]</t>
        </is>
      </c>
      <c r="C40" s="3" t="inlineStr">
        <is>
          <t>None — support role only</t>
        </is>
      </c>
      <c r="D40" s="3" t="inlineStr">
        <is>
          <t>16 items: #19–20, 25–26, 31–32, 37–38, 43–44, 49–50, 55–56, 61–62</t>
        </is>
      </c>
      <c r="E40"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1" ht="23.75" customHeight="1" s="31">
      <c r="A41" s="3" t="inlineStr">
        <is>
          <t>Cajucom, Ryan Neil</t>
        </is>
      </c>
      <c r="B41" s="3" t="inlineStr">
        <is>
          <t>Curriculum &amp; Syllabi — BEED/BSED  [FT, 27 units, 6 preps this semester]</t>
        </is>
      </c>
      <c r="C41" s="3" t="inlineStr">
        <is>
          <t>None — support role only</t>
        </is>
      </c>
      <c r="D41" s="3" t="inlineStr">
        <is>
          <t>4 items: #55–56, 61–62</t>
        </is>
      </c>
      <c r="E41"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2" ht="35" customHeight="1" s="31">
      <c r="A42" s="3" t="inlineStr">
        <is>
          <t>Calma, Shiela Mae C.</t>
        </is>
      </c>
      <c r="B42" s="3" t="inlineStr">
        <is>
          <t>Curriculum &amp; Syllabi — BEED/BSED; General Education Syllabi Pool (college-wide)  [FT, 24 units, 4 preps this semester]</t>
        </is>
      </c>
      <c r="C42" s="3" t="inlineStr">
        <is>
          <t>None — support role only</t>
        </is>
      </c>
      <c r="D42" s="3" t="inlineStr">
        <is>
          <t>16 items: #19–20, 25–26, 31–32, 37–38, 43–44, 49–50, 55–56, 61–62</t>
        </is>
      </c>
      <c r="E42"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3" ht="23.75" customHeight="1" s="31">
      <c r="A43" s="3" t="inlineStr">
        <is>
          <t>Delos Reyes, Diana Maris</t>
        </is>
      </c>
      <c r="B43" s="3" t="inlineStr">
        <is>
          <t>Curriculum &amp; Syllabi — BEED/BSED  [FT, 27 units, 7 preps this semester]</t>
        </is>
      </c>
      <c r="C43" s="3" t="inlineStr">
        <is>
          <t>None — support role only</t>
        </is>
      </c>
      <c r="D43" s="3" t="inlineStr">
        <is>
          <t>4 items: #55–56, 61–62</t>
        </is>
      </c>
      <c r="E43"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4" ht="23.75" customHeight="1" s="31">
      <c r="A44" s="3" t="inlineStr">
        <is>
          <t>Germino, Melanie</t>
        </is>
      </c>
      <c r="B44" s="3" t="inlineStr">
        <is>
          <t>Curriculum &amp; Syllabi — BEED/BSED  [FT, 27 units, 7 preps this semester]</t>
        </is>
      </c>
      <c r="C44" s="3" t="inlineStr">
        <is>
          <t>None — support role only</t>
        </is>
      </c>
      <c r="D44" s="3" t="inlineStr">
        <is>
          <t>4 items: #55–56, 61–62</t>
        </is>
      </c>
      <c r="E44"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5" ht="35" customHeight="1" s="31">
      <c r="A45" s="3" t="inlineStr">
        <is>
          <t>Ilag, Ferdinand T.</t>
        </is>
      </c>
      <c r="B45" s="3" t="inlineStr">
        <is>
          <t>Curriculum &amp; Syllabi — BEED/BSED; General Education Syllabi Pool (college-wide)  [FT, 21 units, 3 preps this semester]</t>
        </is>
      </c>
      <c r="C45" s="3" t="inlineStr">
        <is>
          <t>None — support role only</t>
        </is>
      </c>
      <c r="D45" s="3" t="inlineStr">
        <is>
          <t>16 items: #19–20, 25–26, 31–32, 37–38, 43–44, 49–50, 55–56, 61–62</t>
        </is>
      </c>
      <c r="E45"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6" ht="35" customHeight="1" s="31">
      <c r="A46" s="3" t="inlineStr">
        <is>
          <t>Jamlang, Jamie A.</t>
        </is>
      </c>
      <c r="B46" s="3" t="inlineStr">
        <is>
          <t>Curriculum &amp; Syllabi — BEED/BSED; General Education Syllabi Pool (college-wide)  [FT, 27 units, 5 preps this semester]</t>
        </is>
      </c>
      <c r="C46" s="3" t="inlineStr">
        <is>
          <t>None — support role only</t>
        </is>
      </c>
      <c r="D46" s="3" t="inlineStr">
        <is>
          <t>16 items: #19–20, 25–26, 31–32, 37–38, 43–44, 49–50, 55–56, 61–62</t>
        </is>
      </c>
      <c r="E46"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7" ht="35" customHeight="1" s="31">
      <c r="A47" s="3" t="inlineStr">
        <is>
          <t>Maglalang, Danica</t>
        </is>
      </c>
      <c r="B47" s="3" t="inlineStr">
        <is>
          <t>Curriculum &amp; Syllabi — BEED/BSED; General Education Syllabi Pool (college-wide)  [FT, 24 units, 3 preps this semester]</t>
        </is>
      </c>
      <c r="C47" s="3" t="inlineStr">
        <is>
          <t>None — support role only</t>
        </is>
      </c>
      <c r="D47" s="3" t="inlineStr">
        <is>
          <t>16 items: #19–20, 25–26, 31–32, 37–38, 43–44, 49–50, 55–56, 61–62</t>
        </is>
      </c>
      <c r="E47"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8" ht="35" customHeight="1" s="31">
      <c r="A48" s="3" t="inlineStr">
        <is>
          <t>Manuel, Consuelo V., Dr.</t>
        </is>
      </c>
      <c r="B48" s="3" t="inlineStr">
        <is>
          <t>Curriculum &amp; Syllabi — BEED/BSED; General Education Syllabi Pool (college-wide)  [FT, 24 units, 4 preps this semester]</t>
        </is>
      </c>
      <c r="C48" s="3" t="inlineStr">
        <is>
          <t>None — support role only</t>
        </is>
      </c>
      <c r="D48" s="3" t="inlineStr">
        <is>
          <t>16 items: #19–20, 25–26, 31–32, 37–38, 43–44, 49–50, 55–56, 61–62</t>
        </is>
      </c>
      <c r="E48"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9" ht="35" customHeight="1" s="31">
      <c r="A49" s="3" t="inlineStr">
        <is>
          <t>Mequiabas, Meah</t>
        </is>
      </c>
      <c r="B49" s="3" t="inlineStr">
        <is>
          <t>Curriculum &amp; Syllabi — BEED/BSED; General Education Syllabi Pool (college-wide)  [FT, 26 units, 4 preps this semester]</t>
        </is>
      </c>
      <c r="C49" s="3" t="inlineStr">
        <is>
          <t>None — support role only</t>
        </is>
      </c>
      <c r="D49" s="3" t="inlineStr">
        <is>
          <t>16 items: #19–20, 25–26, 31–32, 37–38, 43–44, 49–50, 55–56, 61–62</t>
        </is>
      </c>
      <c r="E49"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0" ht="23.75" customHeight="1" s="31">
      <c r="A50" s="3" t="inlineStr">
        <is>
          <t>Sta. Cruz, Ma. Patricia</t>
        </is>
      </c>
      <c r="B50" s="3" t="inlineStr">
        <is>
          <t>Curriculum &amp; Syllabi — BEED/BSED; Library Collection  [FT, 27 units, 3 preps this semester]</t>
        </is>
      </c>
      <c r="C50" s="3" t="inlineStr">
        <is>
          <t>None — support role only</t>
        </is>
      </c>
      <c r="D50" s="3" t="inlineStr">
        <is>
          <t>8 items: #55–56, 61–62, 66–69</t>
        </is>
      </c>
      <c r="E50" s="4">
        <f>IF(MIN(IF(Tracker!$G$63="Done",99999,Tracker!$F$63),IF(Tracker!$G$64="Done",99999,Tracker!$F$64),IF(Tracker!$G$69="Done",99999,Tracker!$F$69),IF(Tracker!$G$70="Done",99999,Tracker!$F$70),IF(Tracker!$G$75="Done",99999,Tracker!$F$75),IF(Tracker!$G$76="Done",99999,Tracker!$F$76),IF(Tracker!$G$77="Done",99999,Tracker!$F$77),IF(Tracker!$G$78="Done",99999,Tracker!$F$78))=99999,"—",MIN(IF(Tracker!$G$63="Done",99999,Tracker!$F$63),IF(Tracker!$G$64="Done",99999,Tracker!$F$64),IF(Tracker!$G$69="Done",99999,Tracker!$F$69),IF(Tracker!$G$70="Done",99999,Tracker!$F$70),IF(Tracker!$G$75="Done",99999,Tracker!$F$75),IF(Tracker!$G$76="Done",99999,Tracker!$F$76),IF(Tracker!$G$77="Done",99999,Tracker!$F$77),IF(Tracker!$G$78="Done",99999,Tracker!$F$78)))</f>
        <v/>
      </c>
    </row>
    <row r="51" ht="35" customHeight="1" s="31">
      <c r="A51" s="3" t="inlineStr">
        <is>
          <t>Tolosa, Nenita</t>
        </is>
      </c>
      <c r="B51" s="3" t="inlineStr">
        <is>
          <t>Curriculum &amp; Syllabi — BEED/BSED; General Education Syllabi Pool (college-wide)  [FT, 24 units, 5 preps this semester]</t>
        </is>
      </c>
      <c r="C51" s="3" t="inlineStr">
        <is>
          <t>None — support role only</t>
        </is>
      </c>
      <c r="D51" s="3" t="inlineStr">
        <is>
          <t>16 items: #19–20, 25–26, 31–32, 37–38, 43–44, 49–50, 55–56, 61–62</t>
        </is>
      </c>
      <c r="E51"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2" ht="23.75" customHeight="1" s="31">
      <c r="A52" s="3" t="inlineStr">
        <is>
          <t>Villamayor, Xyrelle</t>
        </is>
      </c>
      <c r="B52" s="3" t="inlineStr">
        <is>
          <t>Curriculum &amp; Syllabi — BEED/BSED  [FT, 27 units, 6 preps this semester]</t>
        </is>
      </c>
      <c r="C52" s="3" t="inlineStr">
        <is>
          <t>None — support role only</t>
        </is>
      </c>
      <c r="D52" s="3" t="inlineStr">
        <is>
          <t>4 items: #55–56, 61–62</t>
        </is>
      </c>
      <c r="E52"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54" ht="15" customHeight="1" s="31">
      <c r="A54" s="33" t="inlineStr">
        <is>
          <t>PART-TIME FACULTY — NOT TASKED</t>
        </is>
      </c>
      <c r="B54" s="28" t="n"/>
      <c r="C54" s="28" t="n"/>
      <c r="D54" s="28" t="n"/>
      <c r="E54" s="29" t="n"/>
    </row>
    <row r="55" ht="135.75" customHeight="1" s="31">
      <c r="A55" s="12" t="inlineStr">
        <is>
          <t>21 part-time faculty</t>
        </is>
      </c>
      <c r="B55" s="12" t="inlineStr">
        <is>
          <t>Listed on the Faculty sheet because checklist item 5.1 requires every faculty member teaching general education and major courses. They carry no project tasks and sit on no committee.  Aberin, Gabriel Angelo, Adiova, Marites, Alarcon, Leuz Rafael, Cabrera, Francis, Carasco, Ryan Jay, Corpuz, Alpha Jessa, Cruz, Rommel, Empay, Jan Rhommer, Fernando, Eddyson S., Francisco, Jayson R., Francisco, Josephine Rose, Garcia, Michael Johnrein, Gomez, Donna Michelle A., Magdaong, Jennifer, Mariano, Jerick, Patiag, Glaiza Kaye, Patiag, Mark, Peralta, Ronel Evan P., Santiago, Decirae Nicole, Santos, John Vincent L., Timpac, Theodore M.</t>
        </is>
      </c>
      <c r="C55" s="12" t="inlineStr">
        <is>
          <t>—</t>
        </is>
      </c>
      <c r="D55" s="12" t="inlineStr">
        <is>
          <t>—</t>
        </is>
      </c>
      <c r="E55" s="13" t="inlineStr">
        <is>
          <t>—</t>
        </is>
      </c>
    </row>
    <row r="57" ht="15" customHeight="1" s="31">
      <c r="A57" s="35" t="inlineStr">
        <is>
          <t>Check</t>
        </is>
      </c>
      <c r="B57" s="15">
        <f>COUNT(Tracker!$A$5:$A$83)&amp;" tracker items, each with exactly one accountable owner. "&amp;COUNTIF(Faculty!$E$5:$E$59,"FT")&amp;" full-time faculty tasked; "&amp;COUNTIF(Faculty!$E$5:$E$59,"PT")&amp;" part-time faculty not tasked."</f>
        <v/>
      </c>
    </row>
  </sheetData>
  <autoFilter ref="A4:E52"/>
  <mergeCells count="10">
    <mergeCell ref="A21:E21"/>
    <mergeCell ref="A34:E34"/>
    <mergeCell ref="A26:E26"/>
    <mergeCell ref="A38:E38"/>
    <mergeCell ref="A54:E54"/>
    <mergeCell ref="A2:E2"/>
    <mergeCell ref="A19:E19"/>
    <mergeCell ref="A1:E1"/>
    <mergeCell ref="A5:E5"/>
    <mergeCell ref="A32:E32"/>
  </mergeCells>
  <pageMargins left="0.75" right="0.75" top="1" bottom="1" header="0.511811023622047" footer="0.511811023622047"/>
  <pageSetup orientation="landscape" fitToHeight="0" horizontalDpi="300" verticalDpi="300"/>
</worksheet>
</file>

<file path=xl/worksheets/sheet3.xml><?xml version="1.0" encoding="utf-8"?>
<worksheet xmlns="http://schemas.openxmlformats.org/spreadsheetml/2006/main">
  <sheetPr>
    <outlinePr summaryBelow="1" summaryRight="1"/>
    <pageSetUpPr fitToPage="1"/>
  </sheetPr>
  <dimension ref="A1:B101"/>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112" customWidth="1" style="31" min="2" max="2"/>
  </cols>
  <sheetData>
    <row r="1" ht="16.25" customHeight="1" s="31">
      <c r="A1" s="32" t="inlineStr">
        <is>
          <t>REFERENCE — SOURCES, CITATIONS, COMMITTEES AND OPEN ITEMS</t>
        </is>
      </c>
    </row>
    <row r="2" ht="31.5" customHeight="1" s="31">
      <c r="A2" s="30" t="inlineStr">
        <is>
          <t>Everything in the Tracker traces back to one of the source documents below. Nothing has been added from general practice. Where a requirement is unclear, it is listed as an Open Item rather than guessed. The committee and borrowing structure in section F is an internal proposal for the Vice Dean's approval — it is not a CHED requirement.</t>
        </is>
      </c>
    </row>
    <row r="4" ht="24" customHeight="1" s="31">
      <c r="A4" s="16" t="inlineStr">
        <is>
          <t>Section</t>
        </is>
      </c>
      <c r="B4" s="16" t="inlineStr">
        <is>
          <t>Detail</t>
        </is>
      </c>
    </row>
    <row r="5" ht="15" customHeight="1" s="31">
      <c r="A5" s="27" t="inlineStr">
        <is>
          <t>A. SOURCE DOCUMENTS USED</t>
        </is>
      </c>
      <c r="B5" s="29" t="n"/>
    </row>
    <row r="6" ht="23.75" customHeight="1" s="31">
      <c r="A6" s="17" t="inlineStr">
        <is>
          <t>Preliminary Requirement checklist</t>
        </is>
      </c>
      <c r="B6" s="3" t="inlineStr">
        <is>
          <t>The 9-section documentary checklist held by the Office of Academic Affairs (items 1 to 9, including sub-items 3.1-3.4, 4.1-4.2, 5.1-5.3, 7.1-7.4, 8.1-8.4.4, 9.1-9.2). Sole source of Tracker items 1 to 69.</t>
        </is>
      </c>
    </row>
    <row r="7" ht="23.75" customHeight="1" s="31">
      <c r="A7" s="17" t="inlineStr">
        <is>
          <t>Minutes of the Special Meeting of the Council of Program Chairs</t>
        </is>
      </c>
      <c r="B7" s="3" t="inlineStr">
        <is>
          <t>27 August 2026, 10:00-11:30 AM, Office of the VPAA. Presided by VPAA Dr. Raquel T. Sta. Ines, technically facilitated by MIS Head Jayson R. Francisco, MIT, prepared by Vice Dean Ken Gie Anthony G. Cruel, CPA, MBA. Dean Dr. Almario B. Garcia on official leave.</t>
        </is>
      </c>
    </row>
    <row r="8" ht="23.75" customHeight="1" s="31">
      <c r="A8" s="17" t="inlineStr">
        <is>
          <t>Internal project implementation plan</t>
        </is>
      </c>
      <c r="B8" s="3" t="inlineStr">
        <is>
          <t>Four-phase plan with hard deadlines of 12 Sep, 16 Oct, 30 Oct and 13 Nov 2026. Source of Tracker items 70 to 72 and of the delegation pattern used for owners.</t>
        </is>
      </c>
    </row>
    <row r="9" ht="35" customHeight="1" s="31">
      <c r="A9" s="17" t="inlineStr">
        <is>
          <t>Draft trimester curriculum workbook</t>
        </is>
      </c>
      <c r="B9" s="3" t="inlineStr">
        <is>
          <t>Draft 9-term prospectus for BSA (191 units) and BSAIS (185 units), proposed AY 2027-2028 academic calendar (three terms of 15 academic weeks), and the sample schedule sheet carrying the contact-hour computation. All 8 programmes are now at the same draft stage; see Open Item 1 on the 14-week question.</t>
        </is>
      </c>
    </row>
    <row r="10" ht="68.75" customHeight="1" s="31">
      <c r="A10" s="17" t="inlineStr">
        <is>
          <t>CHED Region III Citizen's Charter (verified 3 Sep 2026)</t>
        </is>
      </c>
      <c r="B10" s="3" t="inlineStr">
        <is>
          <t>Official CHED source located and read on 3 September 2026. Its checklist for Application for Initial Permit (GP), Government Recognition (GR) and Certificate of Program Compliance (COPC) for Undergraduate Programs contains 18 numbered requirements. Items 1 and 5 to 10 correspond almost word for word to the internal Preliminary Requirement checklist - the same feasibility study headings, the same administrator and faculty spreadsheet fields, the same curriculum breakdown, and the same 3,000 and 5,000 library figures. Nine further requirements on the CHED list do not appear on the internal one: see Open Item 2. Source: https://chedro3.ched.gov.ph/wp-content/uploads/2021/01/CHEDROIII-Updated-Citizens-Charter.pdf</t>
        </is>
      </c>
    </row>
    <row r="11" ht="35" customHeight="1" s="31">
      <c r="A11" s="17" t="inlineStr">
        <is>
          <t>7.1 Distribution of Courses per Trimester — BSCRIM</t>
        </is>
      </c>
      <c r="B11" s="3" t="inlineStr">
        <is>
          <t>Received 3 Sep 2026 as the working template for checklist item 7.1, and as a complete BSCRIM prospectus in its own right (192 units, effective AY 2027-2028, citing CMO 05 s.2018 and CMO 20 s.2013). Not yet a final template - still for discussion. Its structure is set out in section C2 below.</t>
        </is>
      </c>
    </row>
    <row r="12" ht="35" customHeight="1" s="31">
      <c r="A12" s="17" t="inlineStr">
        <is>
          <t>Faculty Roster, First Semester AY 2026-2027</t>
        </is>
      </c>
      <c r="B12" s="3" t="inlineStr">
        <is>
          <t>55 unique faculty (34 full-time, 21 part-time) across six departments, with course counts, units, weekly hours and preps. Prepared by Vice Dean Cruel, recommended by Dean Garcia, approved by VPAA Sta. Ines. Source of the Faculty sheet and of the committee membership in section E.</t>
        </is>
      </c>
    </row>
    <row r="14" ht="15" customHeight="1" s="31">
      <c r="A14" s="27" t="inlineStr">
        <is>
          <t>B. COUNCIL RESOLUTIONS (27 AUGUST 2026)</t>
        </is>
      </c>
      <c r="B14" s="29" t="n"/>
    </row>
    <row r="15" ht="23.75" customHeight="1" s="31">
      <c r="A15" s="17" t="inlineStr">
        <is>
          <t>Resolution No. 2026-08-01</t>
        </is>
      </c>
      <c r="B15" s="3" t="inlineStr">
        <is>
          <t>Endorsement of the proposed transition of BSA, BSAIS, BSBA, BSCS, BSHM, BSCRIM, BEED and BSED from the four-year semestral model to a 3-Year Trimester System, targeted to commence in AY 2027-2028, subject to CHED requirements.</t>
        </is>
      </c>
    </row>
    <row r="16" ht="23.75" customHeight="1" s="31">
      <c r="A16" s="17" t="inlineStr">
        <is>
          <t>Resolution No. 2026-08-02</t>
        </is>
      </c>
      <c r="B16" s="3" t="inlineStr">
        <is>
          <t>New curriculum to apply initially to incoming first-year students from AY 2027-2028. Students admitted earlier continue under their year-of-admission prospectus, subject to an approved transition and teach-out plan covering irregular, returning and transferee students.</t>
        </is>
      </c>
    </row>
    <row r="17" ht="23.75" customHeight="1" s="31">
      <c r="A17" s="17" t="inlineStr">
        <is>
          <t>Resolution No. 2026-08-03</t>
        </is>
      </c>
      <c r="B17" s="3" t="inlineStr">
        <is>
          <t>Mobilisation of the CHED Application Task Force, co-led by Vice Dean Cruel and MIS Head Francisco under the supervision of the Office of the VPAA. Target completion and submission of the consolidated dossier on or before 13 November 2026.</t>
        </is>
      </c>
    </row>
    <row r="19" ht="15" customHeight="1" s="31">
      <c r="A19" s="27" t="inlineStr">
        <is>
          <t>C. CHED ISSUANCES AND AUTHORITY</t>
        </is>
      </c>
      <c r="B19" s="29" t="n"/>
    </row>
    <row r="20" ht="23.75" customHeight="1" s="31">
      <c r="A20" s="17" t="inlineStr">
        <is>
          <t>CMO No. 27 and CMO No. 30, series of 2017</t>
        </is>
      </c>
      <c r="B20" s="3" t="inlineStr">
        <is>
          <t>Cited in the draft curriculum workbook as the basis for BSA and BSAIS contact hours: at least 14 contact hours per unit offered, which is 42 hours for a 3-unit subject. This is the regulatory FLOOR.</t>
        </is>
      </c>
    </row>
    <row r="21" ht="57.5" customHeight="1" s="31">
      <c r="A21" s="17" t="inlineStr">
        <is>
          <t>College standard: 54 hours per 3-unit subject</t>
        </is>
      </c>
      <c r="B21" s="3" t="inlineStr">
        <is>
          <t>Set by the Vice Dean, 3 Sep 2026, and applying to all 8 programmes whether the term runs 14 or 15 weeks. That is 18 contact hours per unit - 29 per cent above the CMO floor - and matches what an 18-week semester at 3 hours a week used to deliver. Consequences: a 6-unit subject such as Intermediate Accounting 1 and 2 carries 108 hours; a 24-unit term carries 432 hours; and the weekly hours column on the faculty roster no longer equals units, since each unit now draws 1.2 weekly hours at 15 weeks or 1.286 at 14. HR should reflect this when preparing the faculty spreadsheet for checklist item 5.1.</t>
        </is>
      </c>
    </row>
    <row r="22" ht="46.25" customHeight="1" s="31">
      <c r="A22" s="17" t="inlineStr">
        <is>
          <t>No CMO governs the checklist</t>
        </is>
      </c>
      <c r="B22" s="3" t="inlineStr">
        <is>
          <t>The internal Preliminary Requirement checklist carries no CMO number, series year or annex - and neither does CHED's own version. The CHED Region III Citizen's Charter presents the same requirements as a GPR Checklist and cites only Section 8 of Republic Act No. 7722, the Higher Education Act of 1994, as the general authority. So the missing CMO is not an omission by the college. Every Tracker row is cited to a checklist item number, which matches how CHED itself presents them. See Open Item 3.</t>
        </is>
      </c>
    </row>
    <row r="24" ht="15" customHeight="1" s="31">
      <c r="A24" s="27" t="inlineStr">
        <is>
          <t>C2. THE CURRICULUM TEMPLATE (from the BSCRIM submission, 3 Sep 2026 - not yet final)</t>
        </is>
      </c>
      <c r="B24" s="29" t="n"/>
    </row>
    <row r="25" ht="35" customHeight="1" s="31">
      <c r="A25" s="17" t="inlineStr">
        <is>
          <t>Header</t>
        </is>
      </c>
      <c r="B25" s="3" t="inlineStr">
        <is>
          <t>Programme name in full. 'Effective Academic Year 2027-2028'. A References line citing that programme's own PSG - BSCRIM uses CMO 05 s.2018 and CMO 20 s.2013; BSA and BSAIS use CMO 27 and CMO 30 s.2017. This is how each row in the dossier gets a real citation: per programme, from its own PSG.</t>
        </is>
      </c>
    </row>
    <row r="26" ht="23.75" customHeight="1" s="31">
      <c r="A26" s="17" t="inlineStr">
        <is>
          <t>Year groupings</t>
        </is>
      </c>
      <c r="B26" s="3" t="inlineStr">
        <is>
          <t>Three named years - the BSCRIM draft uses YEAR I: CORE FOUNDATIONS, YEAR II: PROFESSIONAL SUBJECTS, YEAR III: SPECIALIZATION - each holding three trimesters, numbered Trimester 1 through 9 straight through.</t>
        </is>
      </c>
    </row>
    <row r="27" ht="23.75" customHeight="1" s="31">
      <c r="A27" s="17" t="inlineStr">
        <is>
          <t>Table columns</t>
        </is>
      </c>
      <c r="B27" s="3" t="inlineStr">
        <is>
          <t>Course Code | Course Title | Lec Hrs | Lab Hrs | Total Hrs | Credit Units | Prerequisite(s). One table per trimester, closing with a Sub-Total row that foots all four numeric columns.</t>
        </is>
      </c>
    </row>
    <row r="28" ht="23.75" customHeight="1" s="31">
      <c r="A28" s="17" t="inlineStr">
        <is>
          <t>Summary table (checklist item 7.2)</t>
        </is>
      </c>
      <c r="B28" s="3" t="inlineStr">
        <is>
          <t>Units by category code, then the total: the BSCRIM draft gives GEC 33 (GE Core plus Rizal), GEE 15, PE 8, NSTP 6, Core 19, Major 105, OJT 6, total 192.</t>
        </is>
      </c>
    </row>
    <row r="29" ht="23.75" customHeight="1" s="31">
      <c r="A29" s="17" t="inlineStr">
        <is>
          <t>Closing note</t>
        </is>
      </c>
      <c r="B29" s="3" t="inlineStr">
        <is>
          <t>'Registration in any course is allowed only upon passing the prerequisite(s) of the said course, if any. A course enrolled in violation of this rule will not be given any credit regardless of the grade obtained.'</t>
        </is>
      </c>
    </row>
    <row r="30" ht="23.75" customHeight="1" s="31">
      <c r="A30" s="17" t="inlineStr">
        <is>
          <t>Sign-off chain</t>
        </is>
      </c>
      <c r="B30" s="3" t="inlineStr">
        <is>
          <t>Prepared by: Programme Chairperson. Reviewed by: ALMARIO B. GARCIA, Ph.D., College Dean. Approved by: RAQUEL T. STA INES, Ph.D., Vice President for Academic Affairs. Every programme's item 7.1 follows this route.</t>
        </is>
      </c>
    </row>
    <row r="31" ht="57.5" customHeight="1" s="31">
      <c r="A31" s="17" t="inlineStr">
        <is>
          <t>UNRESOLVED - what basis are the Hrs columns?</t>
        </is>
      </c>
      <c r="B31" s="3" t="inlineStr">
        <is>
          <t>In the BSCRIM draft a 3-unit lecture course reads 3 Lec Hrs, 3 Total Hrs. Those are WEEKLY hours on the old semestral convention: 3 hours a week over 18 weeks is exactly the 54 hours the college has now set as standard. Under a 14 or 15-week trimester the same 54 hours becomes 3.6 weekly hours at 15 weeks or 3.857 at 14 - so the column as filled in is no longer correct. Decide before eight programmes populate it: relabel the columns as total hours for the term (54, 0, 54), or keep weekly hours and restate them, or add a separate column. See Open Item 6.</t>
        </is>
      </c>
    </row>
    <row r="33" ht="15" customHeight="1" s="31">
      <c r="A33" s="27" t="inlineStr">
        <is>
          <t>D. OPEN ITEMS — TO BE RESOLVED, NOT GUESSED</t>
        </is>
      </c>
      <c r="B33" s="29" t="n"/>
    </row>
    <row r="34" ht="124.5" customHeight="1" s="31">
      <c r="A34" s="17" t="inlineStr">
        <is>
          <t>Open Item 1</t>
        </is>
      </c>
      <c r="B34" s="3" t="inlineStr">
        <is>
          <t>14 WEEKS OR 15? The Programme Chairs agreed in principle to a 14-week term; the agreement is not final. The college-wide standard of 54 contact hours per 3-unit subject holds either way, so COMPLIANCE IS NOT THE ISSUE - 54 hours is 18 hours per unit, 29 per cent above the CMO 27 &amp; 30 floor of 14 hours per unit, and either term length could lose three whole sessions and still clear it. The question is now schedulability and daily student load. SCHEDULABILITY: at 15 weeks a 3-unit subject runs 216 minutes a week, which divides into whole periods - 2 meetings of 108 minutes, 3 of 72, or 4 of 54. At 14 weeks it runs 231.43 minutes a week, which divides into 115.71, 77.14 or 57.86 minutes; none of these is a usable period length, so a 14-week term forces uneven weekly patterns or a make-up session bolted on. DAILY LOAD: with Friday reserved for consultation, make-up classes and independent learning as the draft schedule provides, a 24-unit term means 7.20 teaching hours a day across Monday to Thursday at 15 weeks, against 7.71 at 14. On a 23-unit term it is 6.90 against 7.39. Every half hour matters when it is already near seven. Recommendation: 15 weeks. Until this is settled the weekly schedule grids (item 9.2 for all 8 programmes) cannot be built and the calendar cannot be finalised.   [ Ask: Council of Programme Chairs - blocks 8 tracker rows ]  SCOPE OF THE COMPLIANCE CHECK, added 3 Sep 2026: the 14-hours-per-unit floor was read from CMO 27 and CMO 30 s.2017, which are the issuances cited for BSA and BSAIS. Each programme cites its own PSG — BSCRIM cites CMO 05 s.2018 and CMO 20 s.2013 — and the contact-hour floor in the other six PSGs has NOT been verified. Do not state that 54 hours clears the floor for all eight programmes until each Chair has checked their own PSG.</t>
        </is>
      </c>
    </row>
    <row r="35" ht="124.5" customHeight="1" s="31">
      <c r="A35" s="17" t="inlineStr">
        <is>
          <t>Open Item 2</t>
        </is>
      </c>
      <c r="B35" s="3" t="inlineStr">
        <is>
          <t>Does the full CHED Region III GPR checklist apply to this application? The internal Preliminary Requirement checklist has 9 sections. The CHED Region III Citizen's Charter checklist for Application for Initial Permit / Government Recognition / COPC for Undergraduate Programs has 18, and items 1 and 5 to 10 match the internal checklist almost word for word - which strongly suggests the internal checklist was drawn from it. Nine requirements on the CHED list do not appear on the internal one at all: Articles of Incorporation and By-Laws; Transfer Certificate of Title, lease contract or proof of ownership of the school building; Certificate of Occupancy in the name of the HEI indicating educational purpose; physical facilities (site, floor area, buildings, classrooms, laboratories); equipment and instructional devices; support facilities (audio-visual room, sports, canteen, lounges); support services (guidance, medical and dental); NSTP coordinator and office; and the school bond of P6,000 plus an application fee of P4,000 and an inspection fee of P4,000. They are NOT in the tracker, because the internal checklist is the agreed source of truth and adding them would be a guess. If Region III confirms they apply, nine rows have to be added and several of them - occupancy certificate, facilities inventory - take real lead time. This is the single most consequential question on the list.   [ Ask: MIS Head Francisco - tracker item 73, ask first ]</t>
        </is>
      </c>
    </row>
    <row r="36" ht="68.75" customHeight="1" s="31">
      <c r="A36" s="17" t="inlineStr">
        <is>
          <t>Open Item 3</t>
        </is>
      </c>
      <c r="B36" s="3" t="inlineStr">
        <is>
          <t>Which route, and therefore which library threshold? The CHED Region III charter distinguishes an INITIAL PERMIT (3,000 library collections) from RECOGNITION (5,000). The eight programmes already exist; only the delivery changes from semestral to trimestral. Confirm whether Region III treats a change in term system as a new permit application, an amendment to existing recognition, or something else - the answer sets the library target for item 68 and decides Open Item 2 with it. Note also that CHED's own charter cites no Memorandum Order for this checklist, only Section 8 of Republic Act No. 7722 as the general authority; so the absence of a CMO on the internal checklist is not an oversight by the college.   [ Ask: MIS Head Francisco - tracker item 73 ]</t>
        </is>
      </c>
    </row>
    <row r="37" ht="35" customHeight="1" s="31">
      <c r="A37" s="17" t="inlineStr">
        <is>
          <t>Open Item 4</t>
        </is>
      </c>
      <c r="B37" s="3" t="inlineStr">
        <is>
          <t>Number of hard copy binders and the soft copy format required by CHED Region III on filing. Note that the charter also lists a school bond and application and inspection fees - confirm whether those are payable here (see Open Item 2).   [ Ask: MIS Head Francisco - tracker item 73 ]</t>
        </is>
      </c>
    </row>
    <row r="38" ht="35" customHeight="1" s="31">
      <c r="A38" s="17" t="inlineStr">
        <is>
          <t>Open Item 5</t>
        </is>
      </c>
      <c r="B38" s="3" t="inlineStr">
        <is>
          <t>HIGHEST WORKLOAD IMPACT. Checklist item 7.4 - are course syllabi required for every course in all 8 programmes, or only for new and re-sequenced courses? The answer governs the 16 October deadline on items 15 to 62 and decides how serious Open Item 8 below really is.   [ Ask: MIS Head Francisco - tracker item 73, due 25 Sep ]</t>
        </is>
      </c>
    </row>
    <row r="39" ht="68.75" customHeight="1" s="31">
      <c r="A39" s="17" t="inlineStr">
        <is>
          <t>Open Item 6</t>
        </is>
      </c>
      <c r="B39" s="3" t="inlineStr">
        <is>
          <t>THE TEMPLATE EXISTS BUT ITS HOURS COLUMNS ARE UNDEFINED. The BSCRIM submission of 3 Sep 2026 is the working template and its structure is settled (section C2). One thing is not: the Lec, Lab and Total Hrs columns are filled in as WEEKLY hours on the old semestral convention - a 3-unit lecture course shows 3 hours, which is 3 a week over 18 weeks, exactly 54. Under the trimester the same 54 hours is 3.6 weekly hours at 15 weeks or 3.857 at 14. Settle the basis - total term hours, restated weekly hours, or a separate column - before the other seven programmes populate the template, or all eight will need redoing. The template is also still open for discussion as to its final form.   [ Ask: Vice Dean / Council of Programme Chairs - blocks items 15 to 62 ]</t>
        </is>
      </c>
    </row>
    <row r="40" ht="91" customHeight="1" s="31">
      <c r="A40" s="17" t="inlineStr">
        <is>
          <t>Open Item 7</t>
        </is>
      </c>
      <c r="B40" s="3" t="inlineStr">
        <is>
          <t>GENERAL EDUCATION COURSE CODES DO NOT MATCH ACROSS PROGRAMMES. The General Education Syllabi Pool exists to write each GE course ONCE for all 8 programmes, which only works if the same course carries the same code, units and hour split everywhere. Comparing the two prospectuses in hand: BSA has REL-GEC Religion, Religious Experience and Spirituality, BSCRIM has REL-GEE; BSA has ITE-GEC Living in the I.T. Era at 3 lecture hours, BSCRIM has IT-GEE Living in IT Era (Elective) at 1 lecture and 3 laboratory hours; and the four PATH-FIT courses are discipline-specific in BSCRIM (martial arts, arnis, water safety, marksmanship) against generic titles in BSA, so they cannot be pooled at all. Of the 20 courses the pool was sized on, only about 13 currently match cleanly. Harmonise the GE codes and hour splits across all 8 prospectuses, or the pool will produce syllabi that do not match half the programmes. The true pool size cannot be fixed until all 8 drafts are in.   [ Ask: Vice Dean / Council of Programme Chairs ]</t>
        </is>
      </c>
    </row>
    <row r="41" ht="35" customHeight="1" s="31">
      <c r="A41" s="17" t="inlineStr">
        <is>
          <t>Open Item 8</t>
        </is>
      </c>
      <c r="B41" s="3" t="inlineStr">
        <is>
          <t>Who signs the application letter? The CHED Region III charter requires it to be signed by the Chairman of the Board of Trustees or the President, or an authorised representative. The tracker currently shows the VPAA as signatory for item 1. Confirm and, if needed, secure a board authorisation before the letter is finalised.   [ Ask: Vice Dean / Board Secretary ]</t>
        </is>
      </c>
    </row>
    <row r="42" ht="57.5" customHeight="1" s="31">
      <c r="A42" s="17" t="inlineStr">
        <is>
          <t>Open Item 9</t>
        </is>
      </c>
      <c r="B42" s="3" t="inlineStr">
        <is>
          <t>CAPACITY, ACCEPTED BY THE VICE DEAN. With part-time faculty excluded from tasking, BSA and BSAIS have no full-time faculty besides the Chair; BSCS has two. After both college-wide pools, roughly 41 programme-specialised accountancy and AIS courses have no full-time author but the Vice Dean. He has taken this on personally - no decision is needed from anyone else. Recorded so the exposure stays visible: if Open Item 5 comes back requiring syllabi for every course, this is where the project slips first.   [ Ask: Vice Dean - handling personally ]</t>
        </is>
      </c>
    </row>
    <row r="44" ht="15" customHeight="1" s="31">
      <c r="A44" s="27" t="inlineStr">
        <is>
          <t>D2. RESOLVED - DECISIONS ALREADY MADE</t>
        </is>
      </c>
      <c r="B44" s="29" t="n"/>
    </row>
    <row r="45" ht="15" customHeight="1" s="31">
      <c r="A45" s="17" t="inlineStr">
        <is>
          <t>Programme chairs</t>
        </is>
      </c>
      <c r="B45" s="3" t="inlineStr">
        <is>
          <t>Kent E. Garcia chairs BOTH BEED and BSED. Confirmed by the Vice Dean, 2 Sep 2026.</t>
        </is>
      </c>
    </row>
    <row r="46" ht="15" customHeight="1" s="31">
      <c r="A46" s="17" t="inlineStr">
        <is>
          <t>No Admin Office Head</t>
        </is>
      </c>
      <c r="B46" s="3" t="inlineStr">
        <is>
          <t>Dr. Raquel T. Sta. Ines is VPAA and also VP for Administration and Finance. Items 7 and 14 sit with her office. Confirmed 2 Sep 2026.</t>
        </is>
      </c>
    </row>
    <row r="47" ht="23.75" customHeight="1" s="31">
      <c r="A47" s="17" t="inlineStr">
        <is>
          <t>Library team identity</t>
        </is>
      </c>
      <c r="B47" s="3" t="inlineStr">
        <is>
          <t>Sta. Cruz, Ma. Patricia (Teacher Education) and Bernardo, Romeo DG (Hospitality Management) on the faculty roster ARE the library team members named in the project plan - the same people, holding both roles. Confirmed 2 Sep 2026.</t>
        </is>
      </c>
    </row>
    <row r="48" ht="23.75" customHeight="1" s="31">
      <c r="A48" s="17" t="inlineStr">
        <is>
          <t>Library Lead</t>
        </is>
      </c>
      <c r="B48" s="3" t="inlineStr">
        <is>
          <t>There is no appointed head librarian. Annabelle Pastrana is acting Library Lead and owns items 63 to 69. Confirmed 3 Sep 2026. A designation memo still has to be issued and attached to item 63.</t>
        </is>
      </c>
    </row>
    <row r="49" ht="23.75" customHeight="1" s="31">
      <c r="A49" s="17" t="inlineStr">
        <is>
          <t>Cristobal, Teofilo G.</t>
        </is>
      </c>
      <c r="B49" s="3" t="inlineStr">
        <is>
          <t>Full-time in BSCS, not Teacher Education. The roster's main sheet lists him under Teacher Education and should be corrected before filing. Confirmed 3 Sep 2026.</t>
        </is>
      </c>
    </row>
    <row r="50" ht="15" customHeight="1" s="31">
      <c r="A50" s="17" t="inlineStr">
        <is>
          <t>Checklist item 9 in-charge</t>
        </is>
      </c>
      <c r="B50" s="3" t="inlineStr">
        <is>
          <t>Owned by the Programme Chairs. Confirmed by the Vice Dean, 3 Sep 2026.</t>
        </is>
      </c>
    </row>
    <row r="51" ht="35" customHeight="1" s="31">
      <c r="A51" s="17" t="inlineStr">
        <is>
          <t>Task force co-leads</t>
        </is>
      </c>
      <c r="B51" s="3" t="inlineStr">
        <is>
          <t>Dean Dr. Almario B. Garcia added as a third co-lead alongside the Vice Dean and the MIS Head. Directed by the Vice Dean, 3 Sep 2026. Note that Council Resolution 2026-08-03 as minuted designates only two co-leads - the resolution or its implementing memo should be updated to match.</t>
        </is>
      </c>
    </row>
    <row r="52" ht="23.75" customHeight="1" s="31">
      <c r="A52" s="17" t="inlineStr">
        <is>
          <t>Transmittal letter ownership</t>
        </is>
      </c>
      <c r="B52" s="3" t="inlineStr">
        <is>
          <t>Item 1 transferred from the Vice Dean to MIS Head Francisco. Directed by the Vice Dean, 3 Sep 2026. The Vice Dean remains the author of both the transmittal letter and the minutes.</t>
        </is>
      </c>
    </row>
    <row r="53" ht="35" customHeight="1" s="31">
      <c r="A53" s="17" t="inlineStr">
        <is>
          <t>CHED Program Evaluation</t>
        </is>
      </c>
      <c r="B53" s="3" t="inlineStr">
        <is>
          <t>Checklist item 2 is not a CHED form. It is a self-evaluation compilation prepared against each programme's CHED Policies, Standards and Guidelines. Confirmed by the Vice Dean, 3 Sep 2026, and corroborated by the CHED Region III Citizen's Charter, which requires a duly accomplished self-evaluation form per programme on submission.</t>
        </is>
      </c>
    </row>
    <row r="54" ht="23.75" customHeight="1" s="31">
      <c r="A54" s="17" t="inlineStr">
        <is>
          <t>Library threshold criterion</t>
        </is>
      </c>
      <c r="B54" s="3" t="inlineStr">
        <is>
          <t>The CHED Region III charter reads: start-up 3,000 library collections for an initial permit, minimum 5,000 for recognition. The threshold turns on the filing route, not on the programme being new. Which route applies is Open Item 3.</t>
        </is>
      </c>
    </row>
    <row r="55" ht="23.75" customHeight="1" s="31">
      <c r="A55" s="17" t="inlineStr">
        <is>
          <t>Curriculum template</t>
        </is>
      </c>
      <c r="B55" s="3" t="inlineStr">
        <is>
          <t>A working template now exists - the BSCRIM 7.1 Distribution of Courses per Trimester, received 3 Sep 2026. Structure settled (Reference section C2); final form still for discussion, and the hours basis is unresolved (Open Item 6).</t>
        </is>
      </c>
    </row>
    <row r="56" ht="23.75" customHeight="1" s="31">
      <c r="A56" s="17" t="inlineStr">
        <is>
          <t>How each row gets a citation</t>
        </is>
      </c>
      <c r="B56" s="3" t="inlineStr">
        <is>
          <t>Per programme, from that programme's own PSG, carried in the prospectus header. BSCRIM cites CMO 05 s.2018 and CMO 20 s.2013; BSA and BSAIS cite CMO 27 and CMO 30 s.2017. This is the same logic as the PSG-based self-evaluation in checklist item 2.</t>
        </is>
      </c>
    </row>
    <row r="57" ht="23.75" customHeight="1" s="31">
      <c r="A57" s="17" t="inlineStr">
        <is>
          <t>Curriculum sign-off route</t>
        </is>
      </c>
      <c r="B57" s="3" t="inlineStr">
        <is>
          <t>Prepared by the Programme Chairperson, reviewed by College Dean Dr. Almario B. Garcia, approved by VPAA Dr. Raquel T. Sta. Ines. Built into the template.</t>
        </is>
      </c>
    </row>
    <row r="58" ht="23.75" customHeight="1" s="31">
      <c r="A58" s="17" t="inlineStr">
        <is>
          <t>Contact-hour standard</t>
        </is>
      </c>
      <c r="B58" s="3" t="inlineStr">
        <is>
          <t>54 hours per 3-unit subject across all 8 programmes, independent of the 14-or-15-week decision. Set by the Vice Dean, 3 Sep 2026. Equals 18 hours per unit, against the CMO 27 &amp; 30 floor of 14.</t>
        </is>
      </c>
    </row>
    <row r="59" ht="23.75" customHeight="1" s="31">
      <c r="A59" s="17" t="inlineStr">
        <is>
          <t>Assessment scheme</t>
        </is>
      </c>
      <c r="B59" s="3" t="inlineStr">
        <is>
          <t>Two examinations per term - midterm and final - plus one required monthly assessment and regular quizzes and activities. Confirmed by the Vice Dean, 3 Sep 2026. Every syllabus and every weekly schedule grid must carry it.</t>
        </is>
      </c>
    </row>
    <row r="60" ht="23.75" customHeight="1" s="31">
      <c r="A60" s="17" t="inlineStr">
        <is>
          <t>Faculty resignation</t>
        </is>
      </c>
      <c r="B60" s="3" t="inlineStr">
        <is>
          <t>Franco, Nadine Denise resigned. Geronimo, Jing Feng A., LPT continues her teaching load and courses in Hospitality Management, effective 3 Sep 2026.</t>
        </is>
      </c>
    </row>
    <row r="61" ht="15" customHeight="1" s="31">
      <c r="A61" s="17" t="inlineStr">
        <is>
          <t>Name form</t>
        </is>
      </c>
      <c r="B61" s="3" t="inlineStr">
        <is>
          <t>Program Chair Samantha Rose C. Pisto - middle initial to be carried in every document, including the minutes.</t>
        </is>
      </c>
    </row>
    <row r="62" ht="15" customHeight="1" s="31">
      <c r="A62" s="17" t="inlineStr">
        <is>
          <t>Part-time faculty</t>
        </is>
      </c>
      <c r="B62" s="3" t="inlineStr">
        <is>
          <t>Not tasked. All 21 remain on the Faculty sheet for checklist item 5.1 but carry no project work. Directed by the Vice Dean, 3 Sep 2026.</t>
        </is>
      </c>
    </row>
    <row r="63" ht="23.75" customHeight="1" s="31">
      <c r="A63" s="17" t="inlineStr">
        <is>
          <t>CHED coordination</t>
        </is>
      </c>
      <c r="B63" s="3" t="inlineStr">
        <is>
          <t>The five questions needing Region III go to MIS Head Francisco as task force co-lead, tracked as item 73. Directed by the Vice Dean, 3 Sep 2026.</t>
        </is>
      </c>
    </row>
    <row r="65" ht="15" customHeight="1" s="31">
      <c r="A65" s="27" t="inlineStr">
        <is>
          <t>E. MANPOWER - FULL-TIME CAPACITY BY DEPARTMENT</t>
        </is>
      </c>
      <c r="B65" s="29" t="n"/>
    </row>
    <row r="66" ht="23.75" customHeight="1" s="31">
      <c r="A66" s="17" t="inlineStr">
        <is>
          <t>Rule applied</t>
        </is>
      </c>
      <c r="B66" s="3" t="inlineStr">
        <is>
          <t>Only full-time faculty are tasked. The 21 part-time faculty stay on the Faculty sheet because checklist item 5.1 requires every faculty member teaching general education and major courses, but they carry no project work and sit on no committee.</t>
        </is>
      </c>
    </row>
    <row r="67" ht="23.75" customHeight="1" s="31">
      <c r="A67" s="17" t="inlineStr">
        <is>
          <t>BSA &amp; BSAIS (Accountancy / AIS)</t>
        </is>
      </c>
      <c r="B67" s="3" t="inlineStr">
        <is>
          <t>6 faculty - 1 full-time (the Vice Dean, who is also the Chair). NO other full-time faculty. 5 part-time CPAs not tasked. The only department in the college with no full-time teaching capacity at all.</t>
        </is>
      </c>
    </row>
    <row r="68" ht="15" customHeight="1" s="31">
      <c r="A68" s="17" t="inlineStr">
        <is>
          <t>BSBA (Business Administration)</t>
        </is>
      </c>
      <c r="B68" s="3" t="inlineStr">
        <is>
          <t>6 faculty - 5 full-time, 4 taskable after the Chair. Supplies the Business Cluster Pool.</t>
        </is>
      </c>
    </row>
    <row r="69" ht="15" customHeight="1" s="31">
      <c r="A69" s="17" t="inlineStr">
        <is>
          <t>BS Criminology</t>
        </is>
      </c>
      <c r="B69" s="3" t="inlineStr">
        <is>
          <t>7 faculty - 6 full-time, 5 taskable after the Chair. Self-sufficient.</t>
        </is>
      </c>
    </row>
    <row r="70" ht="23.75" customHeight="1" s="31">
      <c r="A70" s="17" t="inlineStr">
        <is>
          <t>BS Computer Science</t>
        </is>
      </c>
      <c r="B70" s="3" t="inlineStr">
        <is>
          <t>7 faculty - 2 full-time: the Chair and Cristobal, Teofilo G. (confirmed by the Vice Dean as full-time in BSCS, not Teacher Education). 5 part-time not tasked.</t>
        </is>
      </c>
    </row>
    <row r="71" ht="23.75" customHeight="1" s="31">
      <c r="A71" s="17" t="inlineStr">
        <is>
          <t>BS Hospitality Management</t>
        </is>
      </c>
      <c r="B71" s="3" t="inlineStr">
        <is>
          <t>9 faculty - 4 full-time, 3 taskable after the Chair. Self-sufficient. Geronimo, Jing Feng A., LPT replaced Franco, Nadine Denise, who resigned.</t>
        </is>
      </c>
    </row>
    <row r="72" ht="23.75" customHeight="1" s="31">
      <c r="A72" s="17" t="inlineStr">
        <is>
          <t>Teacher Education (BEED / BSED)</t>
        </is>
      </c>
      <c r="B72" s="3" t="inlineStr">
        <is>
          <t>20 faculty - 16 full-time, 14 taskable after the Dean and the Chair. The only department with surplus - it supplies the General Education Syllabi Pool.</t>
        </is>
      </c>
    </row>
    <row r="74" ht="15" customHeight="1" s="31">
      <c r="A74" s="27" t="inlineStr">
        <is>
          <t>F. WORKING COMMITTEES AND BORROWED MANPOWER  (internal proposal - not a CHED requirement)</t>
        </is>
      </c>
      <c r="B74" s="29" t="n"/>
    </row>
    <row r="75" ht="46.25" customHeight="1" s="31">
      <c r="A75" s="17" t="inlineStr">
        <is>
          <t>General Education Syllabi Pool</t>
        </is>
      </c>
      <c r="B75" s="3" t="inlineStr">
        <is>
          <t>THE MAIN BORROWING. The 20 general education, PATH-FIT, NSTP and CLE courses are common to all 8 programmes, so they are written ONCE for the whole college instead of eight times. Drawn from Teacher Education's full-time surplus: Ilag, Ferdinand T., Maglalang, Danica, Calma, Shiela Mae C., Manuel, Consuelo V., Tolosa, Nenita, Aquino, Agnes M., Mequiabas, Meah, Jamlang, Jamie A.. Supports checklist items 7.3 and 7.4 for all 8 programmes. This alone removes roughly 140 duplicated syllabi from the project.</t>
        </is>
      </c>
    </row>
    <row r="76" ht="57.5" customHeight="1" s="31">
      <c r="A76" s="17" t="inlineStr">
        <is>
          <t>Business Cluster Pool</t>
        </is>
      </c>
      <c r="B76" s="3" t="inlineStr">
        <is>
          <t>SECOND BORROWING. The shared business, economics and law courses - operations management, managerial economics, the three business law courses, management science, financial management, international business, economic development, strategic management, financial markets, governance - appear in the BSA, BSAIS, BSBA and BSHM curricula. Written once by BSBA's full-time faculty: Dela Cruz, Jacqueline, Aquino, Ann Jellie B., Bauat, Jhosalyn, Salas, Kristine Joy. Supports items 7.3 and 7.4 for those four programmes.</t>
        </is>
      </c>
    </row>
    <row r="77" ht="23.75" customHeight="1" s="31">
      <c r="A77" s="17" t="inlineStr">
        <is>
          <t>Curriculum &amp; Syllabi Committee</t>
        </is>
      </c>
      <c r="B77" s="3" t="inlineStr">
        <is>
          <t>One per programme, chaired by that Programme Chair, made up of the department's full-time faculty. Covers whatever the two pools do not - the programme-specialised courses. BSA and BSAIS have no full-time members here: see Open Item 9.</t>
        </is>
      </c>
    </row>
    <row r="78" ht="46.25" customHeight="1" s="31">
      <c r="A78" s="17" t="inlineStr">
        <is>
          <t>Library Collection Committee</t>
        </is>
      </c>
      <c r="B78" s="3" t="inlineStr">
        <is>
          <t>Chaired by Library Lead Pastrana. Full-time faculty, one per department: Bernardo, Romeo DG, Dela Cruz, Jacqueline, Ramos, Leandro M., Sta. Cruz, Ma. Patricia. Supports items 66 and 67; Sta. Cruz and Bernardo, who are the library team named in the project plan, also carry items 68 and 69 on top of full teaching loads. BSA/BSAIS and BSCS have too few full-time faculty to seat, so their subject title lists fall to the Chairs.</t>
        </is>
      </c>
    </row>
    <row r="79" ht="23.75" customHeight="1" s="31">
      <c r="A79" s="17" t="inlineStr">
        <is>
          <t>Feasibility &amp; Market Study Committee</t>
        </is>
      </c>
      <c r="B79" s="3" t="inlineStr">
        <is>
          <t>Chaired by MIS Head Francisco. Full-time faculty, one per department: Ablaya, Stephanie, Aquino, Ann Jellie B., Arimbuyutan, Jazzele M., Dela Cruz, Jonathan. Supports items 4, 5 and 6.</t>
        </is>
      </c>
    </row>
    <row r="80" ht="35" customHeight="1" s="31">
      <c r="A80" s="17" t="inlineStr">
        <is>
          <t>Records &amp; Documents</t>
        </is>
      </c>
      <c r="B80" s="3" t="inlineStr">
        <is>
          <t>Not a faculty committee. HR Officer Dela Cruz owns items 9 to 13; the VPAA, who also holds the VP for Administration and Finance portfolio, owns items 7 and 14. Faculty contribute only their own certified true copy transcripts and signed contracts - and here ALL faculty, part-time included, must supply documents, because checklist item 5.1 covers the whole roster.</t>
        </is>
      </c>
    </row>
    <row r="82" ht="15" customHeight="1" s="31">
      <c r="A82" s="27" t="inlineStr">
        <is>
          <t>G. PROGRESS ROLL-UP (updates itself from the Tracker)</t>
        </is>
      </c>
      <c r="B82" s="29" t="n"/>
    </row>
    <row r="83" ht="15" customHeight="1" s="31">
      <c r="A83" s="18" t="inlineStr">
        <is>
          <t>Total requirements</t>
        </is>
      </c>
      <c r="B83" s="19">
        <f>COUNT(Tracker!$A$5:$A$83)</f>
        <v/>
      </c>
    </row>
    <row r="84" ht="15" customHeight="1" s="31">
      <c r="A84" s="18" t="inlineStr">
        <is>
          <t>Not started</t>
        </is>
      </c>
      <c r="B84" s="19">
        <f>COUNTIF(Tracker!$G$5:$G$83,"Not started")</f>
        <v/>
      </c>
    </row>
    <row r="85" ht="15" customHeight="1" s="31">
      <c r="A85" s="18" t="inlineStr">
        <is>
          <t>In progress</t>
        </is>
      </c>
      <c r="B85" s="19">
        <f>COUNTIF(Tracker!$G$5:$G$83,"In progress")</f>
        <v/>
      </c>
    </row>
    <row r="86" ht="15" customHeight="1" s="31">
      <c r="A86" s="18" t="inlineStr">
        <is>
          <t>For review</t>
        </is>
      </c>
      <c r="B86" s="19">
        <f>COUNTIF(Tracker!$G$5:$G$83,"For review")</f>
        <v/>
      </c>
    </row>
    <row r="87" ht="15" customHeight="1" s="31">
      <c r="A87" s="18" t="inlineStr">
        <is>
          <t>Done</t>
        </is>
      </c>
      <c r="B87" s="19">
        <f>COUNTIF(Tracker!$G$5:$G$83,"Done")</f>
        <v/>
      </c>
    </row>
    <row r="88" ht="15" customHeight="1" s="31">
      <c r="A88" s="18" t="inlineStr">
        <is>
          <t>Overall completion</t>
        </is>
      </c>
      <c r="B88" s="20">
        <f>IFERROR(AVERAGE(Tracker!$H$5:$H$83),0)</f>
        <v/>
      </c>
    </row>
    <row r="89" ht="15" customHeight="1" s="31">
      <c r="A89" s="18" t="inlineStr">
        <is>
          <t>Items overdue today</t>
        </is>
      </c>
      <c r="B89" s="19">
        <f>COUNTIFS(Tracker!$F$5:$F$83,"&lt;"&amp;TODAY(),Tracker!$G$5:$G$83,"&lt;&gt;Done")</f>
        <v/>
      </c>
    </row>
    <row r="90" ht="15" customHeight="1" s="31">
      <c r="A90" s="18" t="inlineStr">
        <is>
          <t>Items due within 7 days</t>
        </is>
      </c>
      <c r="B90" s="19">
        <f>COUNTIFS(Tracker!$F$5:$F$83,"&gt;="&amp;TODAY(),Tracker!$F$5:$F$83,"&lt;="&amp;TODAY()+7,Tracker!$G$5:$G$83,"&lt;&gt;Done")</f>
        <v/>
      </c>
    </row>
    <row r="91" ht="15" customHeight="1" s="31">
      <c r="A91" s="18" t="inlineStr">
        <is>
          <t>Faculty on the roster</t>
        </is>
      </c>
      <c r="B91" s="19">
        <f>COUNTA(Faculty!$B$5:$B$59)</f>
        <v/>
      </c>
    </row>
    <row r="92" ht="15" customHeight="1" s="31">
      <c r="A92" s="18" t="inlineStr">
        <is>
          <t>Full-time faculty tasked</t>
        </is>
      </c>
      <c r="B92" s="19">
        <f>COUNTIF(Faculty!$E$5:$E$59,"FT")</f>
        <v/>
      </c>
    </row>
    <row r="93" ht="15" customHeight="1" s="31">
      <c r="A93" s="18" t="inlineStr">
        <is>
          <t>Part-time faculty not tasked</t>
        </is>
      </c>
      <c r="B93" s="19">
        <f>COUNTIF(Faculty!$E$5:$E$59,"PT")</f>
        <v/>
      </c>
    </row>
    <row r="94" ht="15" customHeight="1" s="31">
      <c r="A94" s="18" t="inlineStr">
        <is>
          <t>Days to the 13 Nov 2026 filing target</t>
        </is>
      </c>
      <c r="B94" s="19">
        <f>DATE(2026,11,13)-TODAY()</f>
        <v/>
      </c>
    </row>
    <row r="96" ht="15" customHeight="1" s="31">
      <c r="A96" s="27" t="inlineStr">
        <is>
          <t>H. HOW TO USE THIS WORKBOOK</t>
        </is>
      </c>
      <c r="B96" s="29" t="n"/>
    </row>
    <row r="97" ht="15" customHeight="1" s="31">
      <c r="A97" s="17" t="inlineStr">
        <is>
          <t>Yellow cells</t>
        </is>
      </c>
      <c r="B97" s="3" t="inlineStr">
        <is>
          <t>On the Tracker, only the Status, % and Notes columns are yours to edit. Everything else is fixed so the roll-ups stay reliable.</t>
        </is>
      </c>
    </row>
    <row r="98" ht="23.75" customHeight="1" s="31">
      <c r="A98" s="17" t="inlineStr">
        <is>
          <t>Status</t>
        </is>
      </c>
      <c r="B98" s="3" t="inlineStr">
        <is>
          <t>Pick from the drop-down only: Not started, In progress, For review, Done. Anything else is rejected, because the counts above depend on these exact words.</t>
        </is>
      </c>
    </row>
    <row r="99" ht="23.75" customHeight="1" s="31">
      <c r="A99" s="17" t="inlineStr">
        <is>
          <t>Colours on the Tracker</t>
        </is>
      </c>
      <c r="B99" s="3" t="inlineStr">
        <is>
          <t>A row shaded orange is past its due date and not yet Done. A row shaded amber is due within seven days. Green in the Status column means Done.</t>
        </is>
      </c>
    </row>
    <row r="100" ht="23.75" customHeight="1" s="31">
      <c r="A100" s="17" t="inlineStr">
        <is>
          <t>Filtering</t>
        </is>
      </c>
      <c r="B100" s="3" t="inlineStr">
        <is>
          <t>Row 4 on the Tracker, Assignments and Faculty sheets has filters. A Program Chair can filter the Owner column to their own name and see only their items; a faculty member can find their own row on the Faculty sheet.</t>
        </is>
      </c>
    </row>
    <row r="101" ht="23.75" customHeight="1" s="31">
      <c r="A101" s="17" t="inlineStr">
        <is>
          <t>One owner per item</t>
        </is>
      </c>
      <c r="B101" s="3" t="inlineStr">
        <is>
          <t>Every one of the 72 items has exactly one accountable owner. Faculty and committees are support - they contribute the work, but the named owner answers for delivery.</t>
        </is>
      </c>
    </row>
  </sheetData>
  <mergeCells count="12">
    <mergeCell ref="A96:B96"/>
    <mergeCell ref="A24:B24"/>
    <mergeCell ref="A2:B2"/>
    <mergeCell ref="A82:B82"/>
    <mergeCell ref="A65:B65"/>
    <mergeCell ref="A19:B19"/>
    <mergeCell ref="A33:B33"/>
    <mergeCell ref="A5:B5"/>
    <mergeCell ref="A14:B14"/>
    <mergeCell ref="A44:B44"/>
    <mergeCell ref="A74:B74"/>
    <mergeCell ref="A1:B1"/>
  </mergeCells>
  <pageMargins left="0.75" right="0.75" top="1" bottom="1" header="0.511811023622047" footer="0.511811023622047"/>
  <pageSetup orientation="landscape" fitToHeight="0" horizontalDpi="300" verticalDpi="300"/>
</worksheet>
</file>

<file path=xl/worksheets/sheet4.xml><?xml version="1.0" encoding="utf-8"?>
<worksheet xmlns="http://schemas.openxmlformats.org/spreadsheetml/2006/main">
  <sheetPr>
    <outlinePr summaryBelow="1" summaryRight="1"/>
    <pageSetUpPr fitToPage="1"/>
  </sheetPr>
  <dimension ref="A1:J66"/>
  <sheetViews>
    <sheetView zoomScaleNormal="100" workbookViewId="0">
      <pane ySplit="4" topLeftCell="A5" activePane="bottomLeft" state="frozen"/>
      <selection pane="bottomLeft" activeCell="A1" sqref="A1"/>
    </sheetView>
  </sheetViews>
  <sheetFormatPr baseColWidth="10" defaultColWidth="8.6640625" defaultRowHeight="15"/>
  <cols>
    <col width="5" customWidth="1" style="31" min="1" max="1"/>
    <col width="28" customWidth="1" style="31" min="2" max="2"/>
    <col width="11" customWidth="1" style="31" min="3" max="3"/>
    <col width="26" customWidth="1" style="31" min="4" max="4"/>
    <col width="8" customWidth="1" style="31" min="5" max="5"/>
    <col width="9" customWidth="1" style="31" min="6" max="6"/>
    <col width="7" customWidth="1" style="31" min="7" max="7"/>
    <col width="46" customWidth="1" style="31" min="8" max="8"/>
    <col width="30" customWidth="1" style="31" min="9" max="9"/>
    <col width="40" customWidth="1" style="31" min="10" max="10"/>
  </cols>
  <sheetData>
    <row r="1" ht="16.25" customHeight="1" s="31">
      <c r="A1" s="32" t="inlineStr">
        <is>
          <t>FACULTY — COMMITTEE ASSIGNMENTS</t>
        </is>
      </c>
    </row>
    <row r="2" ht="33.75" customHeight="1" s="31">
      <c r="A2" s="30" t="inlineStr">
        <is>
          <t>Complete roster, First Semester AY 2026–2027 (55 faculty; 34 full-time, 21 part-time). The full list is kept because checklist item 5.1 requires every faculty member in general education and major courses. Only full-time faculty are tasked. Current load is shown so Chairs can allocate drafting fairly.</t>
        </is>
      </c>
    </row>
    <row r="4" ht="30" customHeight="1" s="31">
      <c r="A4" s="1" t="inlineStr">
        <is>
          <t>#</t>
        </is>
      </c>
      <c r="B4" s="1" t="inlineStr">
        <is>
          <t>Faculty name</t>
        </is>
      </c>
      <c r="C4" s="1" t="inlineStr">
        <is>
          <t>Credential</t>
        </is>
      </c>
      <c r="D4" s="1" t="inlineStr">
        <is>
          <t>Department</t>
        </is>
      </c>
      <c r="E4" s="1" t="inlineStr">
        <is>
          <t>FT / PT</t>
        </is>
      </c>
      <c r="F4" s="1" t="inlineStr">
        <is>
          <t>Units this sem.</t>
        </is>
      </c>
      <c r="G4" s="1" t="inlineStr">
        <is>
          <t>Preps</t>
        </is>
      </c>
      <c r="H4" s="1" t="inlineStr">
        <is>
          <t>Committee assignment</t>
        </is>
      </c>
      <c r="I4" s="1" t="inlineStr">
        <is>
          <t>Tracker items supporting</t>
        </is>
      </c>
      <c r="J4" s="1" t="inlineStr">
        <is>
          <t>Notes</t>
        </is>
      </c>
    </row>
    <row r="5" ht="23.75" customHeight="1" s="31">
      <c r="A5" s="2" t="n">
        <v>1</v>
      </c>
      <c r="B5" s="3" t="inlineStr">
        <is>
          <t>Cruel, Ken Gie Anthony</t>
        </is>
      </c>
      <c r="C5" s="21" t="inlineStr">
        <is>
          <t>CPA</t>
        </is>
      </c>
      <c r="D5" s="3" t="inlineStr">
        <is>
          <t>BSA &amp; BSAIS (Accountancy / AIS)</t>
        </is>
      </c>
      <c r="E5" s="2" t="inlineStr">
        <is>
          <t>FT</t>
        </is>
      </c>
      <c r="F5" s="2" t="n">
        <v>12</v>
      </c>
      <c r="G5" s="2" t="n">
        <v>4</v>
      </c>
      <c r="H5" s="3" t="inlineStr">
        <is>
          <t>Curriculum &amp; Syllabi — BSA/BSAIS</t>
        </is>
      </c>
      <c r="I5" s="21" t="inlineStr">
        <is>
          <t>#19–20, 25–26</t>
        </is>
      </c>
      <c r="J5" s="3" t="inlineStr">
        <is>
          <t>Listed in the leadership block of the Assignment Matrix as Vice Dean Ken Gie Anthony G. Cruel.</t>
        </is>
      </c>
    </row>
    <row r="6" ht="23.75" customHeight="1" s="31">
      <c r="A6" s="22" t="n">
        <v>2</v>
      </c>
      <c r="B6" s="12" t="inlineStr">
        <is>
          <t>Carasco, Ryan Jay</t>
        </is>
      </c>
      <c r="C6" s="23" t="inlineStr">
        <is>
          <t>CPA</t>
        </is>
      </c>
      <c r="D6" s="12" t="inlineStr">
        <is>
          <t>BSA &amp; BSAIS (Accountancy / AIS)</t>
        </is>
      </c>
      <c r="E6" s="22" t="inlineStr">
        <is>
          <t>PT</t>
        </is>
      </c>
      <c r="F6" s="22" t="n">
        <v>6</v>
      </c>
      <c r="G6" s="22" t="n">
        <v>2</v>
      </c>
      <c r="H6" s="12" t="inlineStr">
        <is>
          <t>Not tasked — part-time</t>
        </is>
      </c>
      <c r="I6" s="23" t="inlineStr">
        <is>
          <t>—</t>
        </is>
      </c>
      <c r="J6" s="12" t="inlineStr">
        <is>
          <t>Part-time — not tasked.</t>
        </is>
      </c>
    </row>
    <row r="7" ht="23.75" customHeight="1" s="31">
      <c r="A7" s="22" t="n">
        <v>3</v>
      </c>
      <c r="B7" s="12" t="inlineStr">
        <is>
          <t>Cruz, Rommel</t>
        </is>
      </c>
      <c r="C7" s="23" t="inlineStr">
        <is>
          <t>CPA</t>
        </is>
      </c>
      <c r="D7" s="12" t="inlineStr">
        <is>
          <t>BSA &amp; BSAIS (Accountancy / AIS)</t>
        </is>
      </c>
      <c r="E7" s="22" t="inlineStr">
        <is>
          <t>PT</t>
        </is>
      </c>
      <c r="F7" s="22" t="n">
        <v>6</v>
      </c>
      <c r="G7" s="22" t="n">
        <v>2</v>
      </c>
      <c r="H7" s="12" t="inlineStr">
        <is>
          <t>Not tasked — part-time</t>
        </is>
      </c>
      <c r="I7" s="23" t="inlineStr">
        <is>
          <t>—</t>
        </is>
      </c>
      <c r="J7" s="12" t="inlineStr">
        <is>
          <t>Part-time — not tasked.</t>
        </is>
      </c>
    </row>
    <row r="8" ht="23.75" customHeight="1" s="31">
      <c r="A8" s="22" t="n">
        <v>4</v>
      </c>
      <c r="B8" s="12" t="inlineStr">
        <is>
          <t>Empay, Jan Rhommer</t>
        </is>
      </c>
      <c r="C8" s="23" t="inlineStr">
        <is>
          <t>CPA</t>
        </is>
      </c>
      <c r="D8" s="12" t="inlineStr">
        <is>
          <t>BSA &amp; BSAIS (Accountancy / AIS)</t>
        </is>
      </c>
      <c r="E8" s="22" t="inlineStr">
        <is>
          <t>PT</t>
        </is>
      </c>
      <c r="F8" s="22" t="n">
        <v>9</v>
      </c>
      <c r="G8" s="22" t="n">
        <v>3</v>
      </c>
      <c r="H8" s="12" t="inlineStr">
        <is>
          <t>Not tasked — part-time</t>
        </is>
      </c>
      <c r="I8" s="23" t="inlineStr">
        <is>
          <t>—</t>
        </is>
      </c>
      <c r="J8" s="12" t="inlineStr">
        <is>
          <t>Part-time — not tasked.</t>
        </is>
      </c>
    </row>
    <row r="9" ht="23.75" customHeight="1" s="31">
      <c r="A9" s="22" t="n">
        <v>5</v>
      </c>
      <c r="B9" s="12" t="inlineStr">
        <is>
          <t>Francisco, Josephine Rose</t>
        </is>
      </c>
      <c r="C9" s="23" t="inlineStr">
        <is>
          <t>CPA</t>
        </is>
      </c>
      <c r="D9" s="12" t="inlineStr">
        <is>
          <t>BSA &amp; BSAIS (Accountancy / AIS)</t>
        </is>
      </c>
      <c r="E9" s="22" t="inlineStr">
        <is>
          <t>PT</t>
        </is>
      </c>
      <c r="F9" s="22" t="n">
        <v>9</v>
      </c>
      <c r="G9" s="22" t="n">
        <v>3</v>
      </c>
      <c r="H9" s="12" t="inlineStr">
        <is>
          <t>Not tasked — part-time</t>
        </is>
      </c>
      <c r="I9" s="23" t="inlineStr">
        <is>
          <t>—</t>
        </is>
      </c>
      <c r="J9" s="12" t="inlineStr">
        <is>
          <t>Part-time — not tasked.</t>
        </is>
      </c>
    </row>
    <row r="10" ht="23.75" customHeight="1" s="31">
      <c r="A10" s="22" t="n">
        <v>6</v>
      </c>
      <c r="B10" s="12" t="inlineStr">
        <is>
          <t>Santiago, Decirae Nicole</t>
        </is>
      </c>
      <c r="C10" s="23" t="inlineStr">
        <is>
          <t>CPA</t>
        </is>
      </c>
      <c r="D10" s="12" t="inlineStr">
        <is>
          <t>BSA &amp; BSAIS (Accountancy / AIS)</t>
        </is>
      </c>
      <c r="E10" s="22" t="inlineStr">
        <is>
          <t>PT</t>
        </is>
      </c>
      <c r="F10" s="22" t="n">
        <v>6</v>
      </c>
      <c r="G10" s="22" t="n">
        <v>2</v>
      </c>
      <c r="H10" s="12" t="inlineStr">
        <is>
          <t>Not tasked — part-time</t>
        </is>
      </c>
      <c r="I10" s="23" t="inlineStr">
        <is>
          <t>—</t>
        </is>
      </c>
      <c r="J10" s="12" t="inlineStr">
        <is>
          <t>Part-time — not tasked.</t>
        </is>
      </c>
    </row>
    <row r="11" ht="23.75" customHeight="1" s="31">
      <c r="A11" s="2" t="n">
        <v>7</v>
      </c>
      <c r="B11" s="3" t="inlineStr">
        <is>
          <t>Aquino, Ann Jellie B.</t>
        </is>
      </c>
      <c r="C11" s="21" t="n"/>
      <c r="D11" s="3" t="inlineStr">
        <is>
          <t>BSBA (Business Administration)</t>
        </is>
      </c>
      <c r="E11" s="2" t="inlineStr">
        <is>
          <t>FT</t>
        </is>
      </c>
      <c r="F11" s="2" t="n">
        <v>24</v>
      </c>
      <c r="G11" s="2" t="n">
        <v>6</v>
      </c>
      <c r="H11" s="3" t="inlineStr">
        <is>
          <t>Curriculum &amp; Syllabi — BSBA; Business Cluster Pool (BSA/BSAIS/BSBA/BSHM); Feasibility &amp; Market Study</t>
        </is>
      </c>
      <c r="I11" s="21" t="inlineStr">
        <is>
          <t>#4–6, 19–20, 25–26, 31–32, 43–44</t>
        </is>
      </c>
      <c r="J11" s="3" t="n"/>
    </row>
    <row r="12" ht="23.75" customHeight="1" s="31">
      <c r="A12" s="2" t="n">
        <v>8</v>
      </c>
      <c r="B12" s="3" t="inlineStr">
        <is>
          <t>Bauat, Jhosalyn</t>
        </is>
      </c>
      <c r="C12" s="21" t="n"/>
      <c r="D12" s="3" t="inlineStr">
        <is>
          <t>BSBA (Business Administration)</t>
        </is>
      </c>
      <c r="E12" s="2" t="inlineStr">
        <is>
          <t>FT</t>
        </is>
      </c>
      <c r="F12" s="2" t="n">
        <v>24</v>
      </c>
      <c r="G12" s="2" t="n">
        <v>6</v>
      </c>
      <c r="H12" s="3" t="inlineStr">
        <is>
          <t>Curriculum &amp; Syllabi — BSBA; Business Cluster Pool (BSA/BSAIS/BSBA/BSHM)</t>
        </is>
      </c>
      <c r="I12" s="21" t="inlineStr">
        <is>
          <t>#19–20, 25–26, 31–32, 43–44</t>
        </is>
      </c>
      <c r="J12" s="3" t="n"/>
    </row>
    <row r="13" ht="23.75" customHeight="1" s="31">
      <c r="A13" s="2" t="n">
        <v>9</v>
      </c>
      <c r="B13" s="3" t="inlineStr">
        <is>
          <t>Castillo, Ranilo S.</t>
        </is>
      </c>
      <c r="C13" s="21" t="n"/>
      <c r="D13" s="3" t="inlineStr">
        <is>
          <t>BSBA (Business Administration)</t>
        </is>
      </c>
      <c r="E13" s="2" t="inlineStr">
        <is>
          <t>FT</t>
        </is>
      </c>
      <c r="F13" s="2" t="n">
        <v>12</v>
      </c>
      <c r="G13" s="2" t="n">
        <v>2</v>
      </c>
      <c r="H13" s="3" t="inlineStr">
        <is>
          <t>Curriculum &amp; Syllabi — BSBA</t>
        </is>
      </c>
      <c r="I13" s="21" t="inlineStr">
        <is>
          <t>#31–32</t>
        </is>
      </c>
      <c r="J13" s="3" t="inlineStr">
        <is>
          <t>Listed in the leadership block of the Assignment Matrix as Program Chair Ranilo S. Castillo II.</t>
        </is>
      </c>
    </row>
    <row r="14" ht="23.75" customHeight="1" s="31">
      <c r="A14" s="2" t="n">
        <v>10</v>
      </c>
      <c r="B14" s="3" t="inlineStr">
        <is>
          <t>Dela Cruz, Jacqueline</t>
        </is>
      </c>
      <c r="C14" s="21" t="n"/>
      <c r="D14" s="3" t="inlineStr">
        <is>
          <t>BSBA (Business Administration)</t>
        </is>
      </c>
      <c r="E14" s="2" t="inlineStr">
        <is>
          <t>FT</t>
        </is>
      </c>
      <c r="F14" s="2" t="n">
        <v>24</v>
      </c>
      <c r="G14" s="2" t="n">
        <v>5</v>
      </c>
      <c r="H14" s="3" t="inlineStr">
        <is>
          <t>Curriculum &amp; Syllabi — BSBA; Business Cluster Pool (BSA/BSAIS/BSBA/BSHM); Library Collection</t>
        </is>
      </c>
      <c r="I14" s="21" t="inlineStr">
        <is>
          <t>#19–20, 25–26, 31–32, 43–44, 66–67</t>
        </is>
      </c>
      <c r="J14" s="3" t="n"/>
    </row>
    <row r="15" ht="23.75" customHeight="1" s="31">
      <c r="A15" s="2" t="n">
        <v>11</v>
      </c>
      <c r="B15" s="3" t="inlineStr">
        <is>
          <t>Salas, Kristine Joy</t>
        </is>
      </c>
      <c r="C15" s="21" t="n"/>
      <c r="D15" s="3" t="inlineStr">
        <is>
          <t>BSBA (Business Administration)</t>
        </is>
      </c>
      <c r="E15" s="2" t="inlineStr">
        <is>
          <t>FT</t>
        </is>
      </c>
      <c r="F15" s="2" t="n">
        <v>24</v>
      </c>
      <c r="G15" s="2" t="n">
        <v>6</v>
      </c>
      <c r="H15" s="3" t="inlineStr">
        <is>
          <t>Curriculum &amp; Syllabi — BSBA; Business Cluster Pool (BSA/BSAIS/BSBA/BSHM)</t>
        </is>
      </c>
      <c r="I15" s="21" t="inlineStr">
        <is>
          <t>#19–20, 25–26, 31–32, 43–44</t>
        </is>
      </c>
      <c r="J15" s="3" t="n"/>
    </row>
    <row r="16" ht="35" customHeight="1" s="31">
      <c r="A16" s="22" t="n">
        <v>12</v>
      </c>
      <c r="B16" s="12" t="inlineStr">
        <is>
          <t>Patiag, Glaiza Kaye</t>
        </is>
      </c>
      <c r="C16" s="23" t="inlineStr">
        <is>
          <t>JD</t>
        </is>
      </c>
      <c r="D16" s="12" t="inlineStr">
        <is>
          <t>BSBA (Business Administration) &amp; BS Hospitality Management</t>
        </is>
      </c>
      <c r="E16" s="22" t="inlineStr">
        <is>
          <t>PT</t>
        </is>
      </c>
      <c r="F16" s="22" t="n">
        <v>9</v>
      </c>
      <c r="G16" s="22" t="n">
        <v>2</v>
      </c>
      <c r="H16" s="12" t="inlineStr">
        <is>
          <t>Not tasked — part-time</t>
        </is>
      </c>
      <c r="I16" s="23" t="inlineStr">
        <is>
          <t>—</t>
        </is>
      </c>
      <c r="J16" s="12" t="inlineStr">
        <is>
          <t>Teaches in two departments; counted once. Part-time — not tasked.</t>
        </is>
      </c>
    </row>
    <row r="17" ht="23.75" customHeight="1" s="31">
      <c r="A17" s="2" t="n">
        <v>13</v>
      </c>
      <c r="B17" s="3" t="inlineStr">
        <is>
          <t>Arimbuyutan, Jazzele M.</t>
        </is>
      </c>
      <c r="C17" s="21" t="n"/>
      <c r="D17" s="3" t="inlineStr">
        <is>
          <t>BS Criminology</t>
        </is>
      </c>
      <c r="E17" s="2" t="inlineStr">
        <is>
          <t>FT</t>
        </is>
      </c>
      <c r="F17" s="2" t="n">
        <v>21</v>
      </c>
      <c r="G17" s="2" t="n">
        <v>4</v>
      </c>
      <c r="H17" s="3" t="inlineStr">
        <is>
          <t>Curriculum &amp; Syllabi — BSCRIM; Feasibility &amp; Market Study</t>
        </is>
      </c>
      <c r="I17" s="21" t="inlineStr">
        <is>
          <t>#4–6, 49–50</t>
        </is>
      </c>
      <c r="J17" s="3" t="n"/>
    </row>
    <row r="18" ht="15" customHeight="1" s="31">
      <c r="A18" s="2" t="n">
        <v>14</v>
      </c>
      <c r="B18" s="3" t="inlineStr">
        <is>
          <t>Dela Cruz, Jhon Allen R.</t>
        </is>
      </c>
      <c r="C18" s="21" t="n"/>
      <c r="D18" s="3" t="inlineStr">
        <is>
          <t>BS Criminology</t>
        </is>
      </c>
      <c r="E18" s="2" t="inlineStr">
        <is>
          <t>FT</t>
        </is>
      </c>
      <c r="F18" s="2" t="n">
        <v>22</v>
      </c>
      <c r="G18" s="2" t="n">
        <v>5</v>
      </c>
      <c r="H18" s="3" t="inlineStr">
        <is>
          <t>Curriculum &amp; Syllabi — BSCRIM</t>
        </is>
      </c>
      <c r="I18" s="21" t="inlineStr">
        <is>
          <t>#49–50</t>
        </is>
      </c>
      <c r="J18" s="3" t="n"/>
    </row>
    <row r="19" ht="15" customHeight="1" s="31">
      <c r="A19" s="2" t="n">
        <v>15</v>
      </c>
      <c r="B19" s="3" t="inlineStr">
        <is>
          <t>Diaz, Pamela B.</t>
        </is>
      </c>
      <c r="C19" s="21" t="n"/>
      <c r="D19" s="3" t="inlineStr">
        <is>
          <t>BS Criminology</t>
        </is>
      </c>
      <c r="E19" s="2" t="inlineStr">
        <is>
          <t>FT</t>
        </is>
      </c>
      <c r="F19" s="2" t="n">
        <v>22</v>
      </c>
      <c r="G19" s="2" t="n">
        <v>5</v>
      </c>
      <c r="H19" s="3" t="inlineStr">
        <is>
          <t>Curriculum &amp; Syllabi — BSCRIM</t>
        </is>
      </c>
      <c r="I19" s="21" t="inlineStr">
        <is>
          <t>#49–50</t>
        </is>
      </c>
      <c r="J19" s="3" t="n"/>
    </row>
    <row r="20" ht="15" customHeight="1" s="31">
      <c r="A20" s="2" t="n">
        <v>16</v>
      </c>
      <c r="B20" s="3" t="inlineStr">
        <is>
          <t>Pamiloza, Honey Mica R.</t>
        </is>
      </c>
      <c r="C20" s="21" t="n"/>
      <c r="D20" s="3" t="inlineStr">
        <is>
          <t>BS Criminology</t>
        </is>
      </c>
      <c r="E20" s="2" t="inlineStr">
        <is>
          <t>FT</t>
        </is>
      </c>
      <c r="F20" s="2" t="n">
        <v>21</v>
      </c>
      <c r="G20" s="2" t="n">
        <v>4</v>
      </c>
      <c r="H20" s="3" t="inlineStr">
        <is>
          <t>Curriculum &amp; Syllabi — BSCRIM</t>
        </is>
      </c>
      <c r="I20" s="21" t="inlineStr">
        <is>
          <t>#49–50</t>
        </is>
      </c>
      <c r="J20" s="3" t="n"/>
    </row>
    <row r="21" ht="35" customHeight="1" s="31">
      <c r="A21" s="2" t="n">
        <v>17</v>
      </c>
      <c r="B21" s="3" t="inlineStr">
        <is>
          <t>Pisto, Samantha Rose C.</t>
        </is>
      </c>
      <c r="C21" s="21" t="n"/>
      <c r="D21" s="3" t="inlineStr">
        <is>
          <t>BS Criminology</t>
        </is>
      </c>
      <c r="E21" s="2" t="inlineStr">
        <is>
          <t>FT</t>
        </is>
      </c>
      <c r="F21" s="2" t="n">
        <v>6</v>
      </c>
      <c r="G21" s="2" t="n">
        <v>2</v>
      </c>
      <c r="H21" s="3" t="inlineStr">
        <is>
          <t>Curriculum &amp; Syllabi — BSCRIM</t>
        </is>
      </c>
      <c r="I21" s="21" t="inlineStr">
        <is>
          <t>#49–50</t>
        </is>
      </c>
      <c r="J21" s="3" t="inlineStr">
        <is>
          <t>Listed in the leadership block of the Assignment Matrix as Program Chair Samantha Rose C. Pisto.</t>
        </is>
      </c>
    </row>
    <row r="22" ht="15" customHeight="1" s="31">
      <c r="A22" s="2" t="n">
        <v>18</v>
      </c>
      <c r="B22" s="3" t="inlineStr">
        <is>
          <t>Ramos, Leandro M.</t>
        </is>
      </c>
      <c r="C22" s="21" t="n"/>
      <c r="D22" s="3" t="inlineStr">
        <is>
          <t>BS Criminology</t>
        </is>
      </c>
      <c r="E22" s="2" t="inlineStr">
        <is>
          <t>FT</t>
        </is>
      </c>
      <c r="F22" s="2" t="n">
        <v>18</v>
      </c>
      <c r="G22" s="2" t="n">
        <v>4</v>
      </c>
      <c r="H22" s="3" t="inlineStr">
        <is>
          <t>Curriculum &amp; Syllabi — BSCRIM; Library Collection</t>
        </is>
      </c>
      <c r="I22" s="21" t="inlineStr">
        <is>
          <t>#49–50, 66–67</t>
        </is>
      </c>
      <c r="J22" s="3" t="n"/>
    </row>
    <row r="23" ht="15" customHeight="1" s="31">
      <c r="A23" s="22" t="n">
        <v>19</v>
      </c>
      <c r="B23" s="12" t="inlineStr">
        <is>
          <t>Timpac, Theodore M.</t>
        </is>
      </c>
      <c r="C23" s="23" t="inlineStr">
        <is>
          <t>Atty.</t>
        </is>
      </c>
      <c r="D23" s="12" t="inlineStr">
        <is>
          <t>BS Criminology</t>
        </is>
      </c>
      <c r="E23" s="22" t="inlineStr">
        <is>
          <t>PT</t>
        </is>
      </c>
      <c r="F23" s="22" t="n">
        <v>12</v>
      </c>
      <c r="G23" s="22" t="n">
        <v>2</v>
      </c>
      <c r="H23" s="12" t="inlineStr">
        <is>
          <t>Not tasked — part-time</t>
        </is>
      </c>
      <c r="I23" s="23" t="inlineStr">
        <is>
          <t>—</t>
        </is>
      </c>
      <c r="J23" s="12" t="inlineStr">
        <is>
          <t>Part-time — not tasked.</t>
        </is>
      </c>
    </row>
    <row r="24" ht="46.25" customHeight="1" s="31">
      <c r="A24" s="24" t="n">
        <v>20</v>
      </c>
      <c r="B24" s="10" t="inlineStr">
        <is>
          <t>Cristobal, Teofilo G.</t>
        </is>
      </c>
      <c r="C24" s="25" t="n"/>
      <c r="D24" s="10" t="inlineStr">
        <is>
          <t>BS Computer Science</t>
        </is>
      </c>
      <c r="E24" s="24" t="inlineStr">
        <is>
          <t>FT</t>
        </is>
      </c>
      <c r="F24" s="24" t="n">
        <v>24</v>
      </c>
      <c r="G24" s="24" t="n">
        <v>3</v>
      </c>
      <c r="H24" s="10" t="inlineStr">
        <is>
          <t>Curriculum &amp; Syllabi — BSCS</t>
        </is>
      </c>
      <c r="I24" s="25" t="inlineStr">
        <is>
          <t>#37–38</t>
        </is>
      </c>
      <c r="J24" s="10" t="inlineStr">
        <is>
          <t>Confirmed by the Vice Dean as full-time in BSCS, not Teacher Education. The roster main sheet lists him under Teacher Education — correct that before the dossier is filed.</t>
        </is>
      </c>
    </row>
    <row r="25" ht="23.75" customHeight="1" s="31">
      <c r="A25" s="2" t="n">
        <v>21</v>
      </c>
      <c r="B25" s="3" t="inlineStr">
        <is>
          <t>Diamat, John Philip N.</t>
        </is>
      </c>
      <c r="C25" s="21" t="n"/>
      <c r="D25" s="3" t="inlineStr">
        <is>
          <t>BS Computer Science</t>
        </is>
      </c>
      <c r="E25" s="2" t="inlineStr">
        <is>
          <t>FT</t>
        </is>
      </c>
      <c r="F25" s="2" t="n">
        <v>9</v>
      </c>
      <c r="G25" s="2" t="n">
        <v>3</v>
      </c>
      <c r="H25" s="3" t="inlineStr">
        <is>
          <t>Curriculum &amp; Syllabi — BSCS</t>
        </is>
      </c>
      <c r="I25" s="21" t="inlineStr">
        <is>
          <t>#37–38</t>
        </is>
      </c>
      <c r="J25" s="3" t="inlineStr">
        <is>
          <t>Listed in the leadership block of the Assignment Matrix as Program Chair John Philip N. Diamat.</t>
        </is>
      </c>
    </row>
    <row r="26" ht="15" customHeight="1" s="31">
      <c r="A26" s="22" t="n">
        <v>22</v>
      </c>
      <c r="B26" s="12" t="inlineStr">
        <is>
          <t>Corpuz, Alpha Jessa</t>
        </is>
      </c>
      <c r="C26" s="23" t="n"/>
      <c r="D26" s="12" t="inlineStr">
        <is>
          <t>BS Computer Science</t>
        </is>
      </c>
      <c r="E26" s="22" t="inlineStr">
        <is>
          <t>PT</t>
        </is>
      </c>
      <c r="F26" s="22" t="n">
        <v>3</v>
      </c>
      <c r="G26" s="22" t="n">
        <v>1</v>
      </c>
      <c r="H26" s="12" t="inlineStr">
        <is>
          <t>Not tasked — part-time</t>
        </is>
      </c>
      <c r="I26" s="23" t="inlineStr">
        <is>
          <t>—</t>
        </is>
      </c>
      <c r="J26" s="12" t="inlineStr">
        <is>
          <t>Part-time — not tasked.</t>
        </is>
      </c>
    </row>
    <row r="27" ht="15" customHeight="1" s="31">
      <c r="A27" s="22" t="n">
        <v>23</v>
      </c>
      <c r="B27" s="12" t="inlineStr">
        <is>
          <t>Fernando, Eddyson S.</t>
        </is>
      </c>
      <c r="C27" s="23" t="n"/>
      <c r="D27" s="12" t="inlineStr">
        <is>
          <t>BS Computer Science</t>
        </is>
      </c>
      <c r="E27" s="22" t="inlineStr">
        <is>
          <t>PT</t>
        </is>
      </c>
      <c r="F27" s="22" t="n">
        <v>9</v>
      </c>
      <c r="G27" s="22" t="n">
        <v>3</v>
      </c>
      <c r="H27" s="12" t="inlineStr">
        <is>
          <t>Not tasked — part-time</t>
        </is>
      </c>
      <c r="I27" s="23" t="inlineStr">
        <is>
          <t>—</t>
        </is>
      </c>
      <c r="J27" s="12" t="inlineStr">
        <is>
          <t>Part-time — not tasked.</t>
        </is>
      </c>
    </row>
    <row r="28" ht="35" customHeight="1" s="31">
      <c r="A28" s="22" t="n">
        <v>24</v>
      </c>
      <c r="B28" s="12" t="inlineStr">
        <is>
          <t>Francisco, Jayson R.</t>
        </is>
      </c>
      <c r="C28" s="23" t="n"/>
      <c r="D28" s="12" t="inlineStr">
        <is>
          <t>BS Computer Science</t>
        </is>
      </c>
      <c r="E28" s="22" t="inlineStr">
        <is>
          <t>PT</t>
        </is>
      </c>
      <c r="F28" s="22" t="n">
        <v>3</v>
      </c>
      <c r="G28" s="22" t="n">
        <v>1</v>
      </c>
      <c r="H28" s="12" t="inlineStr">
        <is>
          <t>Not tasked — part-time</t>
        </is>
      </c>
      <c r="I28" s="23" t="inlineStr">
        <is>
          <t>—</t>
        </is>
      </c>
      <c r="J28" s="12" t="inlineStr">
        <is>
          <t>Listed in the leadership block of the Assignment Matrix as MIS Head Jayson R. Francisco. Part-time — not tasked.</t>
        </is>
      </c>
    </row>
    <row r="29" ht="15" customHeight="1" s="31">
      <c r="A29" s="22" t="n">
        <v>25</v>
      </c>
      <c r="B29" s="12" t="inlineStr">
        <is>
          <t>Garcia, Michael Johnrein</t>
        </is>
      </c>
      <c r="C29" s="23" t="n"/>
      <c r="D29" s="12" t="inlineStr">
        <is>
          <t>BS Computer Science</t>
        </is>
      </c>
      <c r="E29" s="22" t="inlineStr">
        <is>
          <t>PT</t>
        </is>
      </c>
      <c r="F29" s="22" t="n">
        <v>9</v>
      </c>
      <c r="G29" s="22" t="n">
        <v>3</v>
      </c>
      <c r="H29" s="12" t="inlineStr">
        <is>
          <t>Not tasked — part-time</t>
        </is>
      </c>
      <c r="I29" s="23" t="inlineStr">
        <is>
          <t>—</t>
        </is>
      </c>
      <c r="J29" s="12" t="inlineStr">
        <is>
          <t>Part-time — not tasked.</t>
        </is>
      </c>
    </row>
    <row r="30" ht="15" customHeight="1" s="31">
      <c r="A30" s="22" t="n">
        <v>26</v>
      </c>
      <c r="B30" s="12" t="inlineStr">
        <is>
          <t>Peralta, Ronel Evan P.</t>
        </is>
      </c>
      <c r="C30" s="23" t="n"/>
      <c r="D30" s="12" t="inlineStr">
        <is>
          <t>BS Computer Science</t>
        </is>
      </c>
      <c r="E30" s="22" t="inlineStr">
        <is>
          <t>PT</t>
        </is>
      </c>
      <c r="F30" s="22" t="n">
        <v>9</v>
      </c>
      <c r="G30" s="22" t="n">
        <v>3</v>
      </c>
      <c r="H30" s="12" t="inlineStr">
        <is>
          <t>Not tasked — part-time</t>
        </is>
      </c>
      <c r="I30" s="23" t="inlineStr">
        <is>
          <t>—</t>
        </is>
      </c>
      <c r="J30" s="12" t="inlineStr">
        <is>
          <t>Part-time — not tasked.</t>
        </is>
      </c>
    </row>
    <row r="31" ht="35" customHeight="1" s="31">
      <c r="A31" s="2" t="n">
        <v>27</v>
      </c>
      <c r="B31" s="3" t="inlineStr">
        <is>
          <t>Bernardo, Romeo DG</t>
        </is>
      </c>
      <c r="C31" s="21" t="n"/>
      <c r="D31" s="3" t="inlineStr">
        <is>
          <t>BS Hospitality Management</t>
        </is>
      </c>
      <c r="E31" s="2" t="inlineStr">
        <is>
          <t>FT</t>
        </is>
      </c>
      <c r="F31" s="2" t="n">
        <v>21</v>
      </c>
      <c r="G31" s="2" t="n">
        <v>4</v>
      </c>
      <c r="H31" s="3" t="inlineStr">
        <is>
          <t>Curriculum &amp; Syllabi — BSHM; Library Collection</t>
        </is>
      </c>
      <c r="I31" s="21" t="inlineStr">
        <is>
          <t>#43–44, 66–69</t>
        </is>
      </c>
      <c r="J31" s="3" t="inlineStr">
        <is>
          <t>Also a member of the library team named in the project plan — library duty on top of a full teaching load.</t>
        </is>
      </c>
    </row>
    <row r="32" ht="23.75" customHeight="1" s="31">
      <c r="A32" s="2" t="n">
        <v>28</v>
      </c>
      <c r="B32" s="3" t="inlineStr">
        <is>
          <t>Ciasico, Stephanie S.</t>
        </is>
      </c>
      <c r="C32" s="21" t="n"/>
      <c r="D32" s="3" t="inlineStr">
        <is>
          <t>BS Hospitality Management</t>
        </is>
      </c>
      <c r="E32" s="2" t="inlineStr">
        <is>
          <t>FT</t>
        </is>
      </c>
      <c r="F32" s="2" t="n">
        <v>9</v>
      </c>
      <c r="G32" s="2" t="n">
        <v>2</v>
      </c>
      <c r="H32" s="3" t="inlineStr">
        <is>
          <t>Curriculum &amp; Syllabi — BSHM</t>
        </is>
      </c>
      <c r="I32" s="21" t="inlineStr">
        <is>
          <t>#43–44</t>
        </is>
      </c>
      <c r="J32" s="3" t="inlineStr">
        <is>
          <t>Listed in the leadership block of the Assignment Matrix as Program Chair Stephanie S. Ciasico.</t>
        </is>
      </c>
    </row>
    <row r="33" ht="23.75" customHeight="1" s="31">
      <c r="A33" s="2" t="n">
        <v>29</v>
      </c>
      <c r="B33" s="3" t="inlineStr">
        <is>
          <t>Dela Cruz, Jonathan</t>
        </is>
      </c>
      <c r="C33" s="21" t="n"/>
      <c r="D33" s="3" t="inlineStr">
        <is>
          <t>BS Hospitality Management</t>
        </is>
      </c>
      <c r="E33" s="2" t="inlineStr">
        <is>
          <t>FT</t>
        </is>
      </c>
      <c r="F33" s="2" t="n">
        <v>18</v>
      </c>
      <c r="G33" s="2" t="n">
        <v>4</v>
      </c>
      <c r="H33" s="3" t="inlineStr">
        <is>
          <t>Curriculum &amp; Syllabi — BSHM; Feasibility &amp; Market Study</t>
        </is>
      </c>
      <c r="I33" s="21" t="inlineStr">
        <is>
          <t>#4–6, 43–44</t>
        </is>
      </c>
      <c r="J33" s="3" t="n"/>
    </row>
    <row r="34" ht="46.25" customHeight="1" s="31">
      <c r="A34" s="2" t="n">
        <v>30</v>
      </c>
      <c r="B34" s="3" t="inlineStr">
        <is>
          <t>Geronimo, Jing Feng A.</t>
        </is>
      </c>
      <c r="C34" s="21" t="inlineStr">
        <is>
          <t>LPT</t>
        </is>
      </c>
      <c r="D34" s="3" t="inlineStr">
        <is>
          <t>BS Hospitality Management</t>
        </is>
      </c>
      <c r="E34" s="2" t="inlineStr">
        <is>
          <t>FT</t>
        </is>
      </c>
      <c r="F34" s="2" t="n">
        <v>24</v>
      </c>
      <c r="G34" s="2" t="n">
        <v>4</v>
      </c>
      <c r="H34" s="3" t="inlineStr">
        <is>
          <t>Curriculum &amp; Syllabi — BSHM</t>
        </is>
      </c>
      <c r="I34" s="21" t="inlineStr">
        <is>
          <t>#43–44</t>
        </is>
      </c>
      <c r="J34" s="3" t="inlineStr">
        <is>
          <t>Replaced Franco, Nadine Denise, who resigned (3 Sep 2026). Continues the same teaching load and courses. Update the roster at source before HR locks the faculty spreadsheet on 23 October.</t>
        </is>
      </c>
    </row>
    <row r="35" ht="15" customHeight="1" s="31">
      <c r="A35" s="22" t="n">
        <v>31</v>
      </c>
      <c r="B35" s="12" t="inlineStr">
        <is>
          <t>Aberin, Gabriel Angelo</t>
        </is>
      </c>
      <c r="C35" s="23" t="n"/>
      <c r="D35" s="12" t="inlineStr">
        <is>
          <t>BS Hospitality Management</t>
        </is>
      </c>
      <c r="E35" s="22" t="inlineStr">
        <is>
          <t>PT</t>
        </is>
      </c>
      <c r="F35" s="22" t="n">
        <v>9</v>
      </c>
      <c r="G35" s="22" t="n">
        <v>2</v>
      </c>
      <c r="H35" s="12" t="inlineStr">
        <is>
          <t>Not tasked — part-time</t>
        </is>
      </c>
      <c r="I35" s="23" t="inlineStr">
        <is>
          <t>—</t>
        </is>
      </c>
      <c r="J35" s="12" t="inlineStr">
        <is>
          <t>Part-time — not tasked.</t>
        </is>
      </c>
    </row>
    <row r="36" ht="15" customHeight="1" s="31">
      <c r="A36" s="22" t="n">
        <v>32</v>
      </c>
      <c r="B36" s="12" t="inlineStr">
        <is>
          <t>Alarcon, Leuz Rafael</t>
        </is>
      </c>
      <c r="C36" s="23" t="n"/>
      <c r="D36" s="12" t="inlineStr">
        <is>
          <t>BS Hospitality Management</t>
        </is>
      </c>
      <c r="E36" s="22" t="inlineStr">
        <is>
          <t>PT</t>
        </is>
      </c>
      <c r="F36" s="22" t="n">
        <v>9</v>
      </c>
      <c r="G36" s="22" t="n">
        <v>2</v>
      </c>
      <c r="H36" s="12" t="inlineStr">
        <is>
          <t>Not tasked — part-time</t>
        </is>
      </c>
      <c r="I36" s="23" t="inlineStr">
        <is>
          <t>—</t>
        </is>
      </c>
      <c r="J36" s="12" t="inlineStr">
        <is>
          <t>Part-time — not tasked.</t>
        </is>
      </c>
    </row>
    <row r="37" ht="15" customHeight="1" s="31">
      <c r="A37" s="22" t="n">
        <v>33</v>
      </c>
      <c r="B37" s="12" t="inlineStr">
        <is>
          <t>Mariano, Jerick</t>
        </is>
      </c>
      <c r="C37" s="23" t="n"/>
      <c r="D37" s="12" t="inlineStr">
        <is>
          <t>BS Hospitality Management</t>
        </is>
      </c>
      <c r="E37" s="22" t="inlineStr">
        <is>
          <t>PT</t>
        </is>
      </c>
      <c r="F37" s="22" t="n">
        <v>9</v>
      </c>
      <c r="G37" s="22" t="n">
        <v>2</v>
      </c>
      <c r="H37" s="12" t="inlineStr">
        <is>
          <t>Not tasked — part-time</t>
        </is>
      </c>
      <c r="I37" s="23" t="inlineStr">
        <is>
          <t>—</t>
        </is>
      </c>
      <c r="J37" s="12" t="inlineStr">
        <is>
          <t>Part-time — not tasked.</t>
        </is>
      </c>
    </row>
    <row r="38" ht="15" customHeight="1" s="31">
      <c r="A38" s="22" t="n">
        <v>34</v>
      </c>
      <c r="B38" s="12" t="inlineStr">
        <is>
          <t>Patiag, Mark</t>
        </is>
      </c>
      <c r="C38" s="23" t="inlineStr">
        <is>
          <t>Atty.</t>
        </is>
      </c>
      <c r="D38" s="12" t="inlineStr">
        <is>
          <t>BS Hospitality Management</t>
        </is>
      </c>
      <c r="E38" s="22" t="inlineStr">
        <is>
          <t>PT</t>
        </is>
      </c>
      <c r="F38" s="22" t="n">
        <v>3</v>
      </c>
      <c r="G38" s="22" t="n">
        <v>1</v>
      </c>
      <c r="H38" s="12" t="inlineStr">
        <is>
          <t>Not tasked — part-time</t>
        </is>
      </c>
      <c r="I38" s="23" t="inlineStr">
        <is>
          <t>—</t>
        </is>
      </c>
      <c r="J38" s="12" t="inlineStr">
        <is>
          <t>Part-time — not tasked.</t>
        </is>
      </c>
    </row>
    <row r="39" ht="15" customHeight="1" s="31">
      <c r="A39" s="22" t="n">
        <v>35</v>
      </c>
      <c r="B39" s="12" t="inlineStr">
        <is>
          <t>Santos, John Vincent L.</t>
        </is>
      </c>
      <c r="C39" s="23" t="inlineStr">
        <is>
          <t>Engr.</t>
        </is>
      </c>
      <c r="D39" s="12" t="inlineStr">
        <is>
          <t>BS Hospitality Management</t>
        </is>
      </c>
      <c r="E39" s="22" t="inlineStr">
        <is>
          <t>PT</t>
        </is>
      </c>
      <c r="F39" s="22" t="n">
        <v>6</v>
      </c>
      <c r="G39" s="22" t="n">
        <v>2</v>
      </c>
      <c r="H39" s="12" t="inlineStr">
        <is>
          <t>Not tasked — part-time</t>
        </is>
      </c>
      <c r="I39" s="23" t="inlineStr">
        <is>
          <t>—</t>
        </is>
      </c>
      <c r="J39" s="12" t="inlineStr">
        <is>
          <t>Part-time — not tasked.</t>
        </is>
      </c>
    </row>
    <row r="40" ht="23.75" customHeight="1" s="31">
      <c r="A40" s="2" t="n">
        <v>36</v>
      </c>
      <c r="B40" s="3" t="inlineStr">
        <is>
          <t>Ablaya, Stephanie</t>
        </is>
      </c>
      <c r="C40" s="21" t="n"/>
      <c r="D40" s="3" t="inlineStr">
        <is>
          <t>Teacher Education (BEED / BSEDE / BSEDM / TEP)</t>
        </is>
      </c>
      <c r="E40" s="2" t="inlineStr">
        <is>
          <t>FT</t>
        </is>
      </c>
      <c r="F40" s="2" t="n">
        <v>27</v>
      </c>
      <c r="G40" s="2" t="n">
        <v>6</v>
      </c>
      <c r="H40" s="3" t="inlineStr">
        <is>
          <t>Curriculum &amp; Syllabi — BEED/BSED; Feasibility &amp; Market Study</t>
        </is>
      </c>
      <c r="I40" s="21" t="inlineStr">
        <is>
          <t>#4–6, 55–56, 61–62</t>
        </is>
      </c>
      <c r="J40" s="3" t="n"/>
    </row>
    <row r="41" ht="23.75" customHeight="1" s="31">
      <c r="A41" s="2" t="n">
        <v>37</v>
      </c>
      <c r="B41" s="3" t="inlineStr">
        <is>
          <t>Aquino, Agnes M.</t>
        </is>
      </c>
      <c r="C41" s="21" t="inlineStr">
        <is>
          <t>Dr.</t>
        </is>
      </c>
      <c r="D41" s="3" t="inlineStr">
        <is>
          <t>Teacher Education (BEED / BSEDE / BSEDM / TEP)</t>
        </is>
      </c>
      <c r="E41" s="2" t="inlineStr">
        <is>
          <t>FT</t>
        </is>
      </c>
      <c r="F41" s="2" t="n">
        <v>24</v>
      </c>
      <c r="G41" s="2" t="n">
        <v>7</v>
      </c>
      <c r="H41" s="3" t="inlineStr">
        <is>
          <t>Curriculum &amp; Syllabi — BEED/BSED; General Education Syllabi Pool (college-wide)</t>
        </is>
      </c>
      <c r="I41" s="21" t="inlineStr">
        <is>
          <t>#19–20, 25–26, 31–32, 37–38, 43–44, 49–50, 55–56, 61–62</t>
        </is>
      </c>
      <c r="J41" s="3" t="n"/>
    </row>
    <row r="42" ht="23.75" customHeight="1" s="31">
      <c r="A42" s="2" t="n">
        <v>38</v>
      </c>
      <c r="B42" s="3" t="inlineStr">
        <is>
          <t>Cajucom, Ryan Neil</t>
        </is>
      </c>
      <c r="C42" s="21" t="n"/>
      <c r="D42" s="3" t="inlineStr">
        <is>
          <t>Teacher Education (BEED / BSEDE / BSEDM / TEP)</t>
        </is>
      </c>
      <c r="E42" s="2" t="inlineStr">
        <is>
          <t>FT</t>
        </is>
      </c>
      <c r="F42" s="2" t="n">
        <v>27</v>
      </c>
      <c r="G42" s="2" t="n">
        <v>6</v>
      </c>
      <c r="H42" s="3" t="inlineStr">
        <is>
          <t>Curriculum &amp; Syllabi — BEED/BSED</t>
        </is>
      </c>
      <c r="I42" s="21" t="inlineStr">
        <is>
          <t>#55–56, 61–62</t>
        </is>
      </c>
      <c r="J42" s="3" t="n"/>
    </row>
    <row r="43" ht="23.75" customHeight="1" s="31">
      <c r="A43" s="2" t="n">
        <v>39</v>
      </c>
      <c r="B43" s="3" t="inlineStr">
        <is>
          <t>Calma, Shiela Mae C.</t>
        </is>
      </c>
      <c r="C43" s="21" t="n"/>
      <c r="D43" s="3" t="inlineStr">
        <is>
          <t>Teacher Education (BEED / BSEDE / BSEDM / TEP)</t>
        </is>
      </c>
      <c r="E43" s="2" t="inlineStr">
        <is>
          <t>FT</t>
        </is>
      </c>
      <c r="F43" s="2" t="n">
        <v>24</v>
      </c>
      <c r="G43" s="2" t="n">
        <v>4</v>
      </c>
      <c r="H43" s="3" t="inlineStr">
        <is>
          <t>Curriculum &amp; Syllabi — BEED/BSED; General Education Syllabi Pool (college-wide)</t>
        </is>
      </c>
      <c r="I43" s="21" t="inlineStr">
        <is>
          <t>#19–20, 25–26, 31–32, 37–38, 43–44, 49–50, 55–56, 61–62</t>
        </is>
      </c>
      <c r="J43" s="3" t="n"/>
    </row>
    <row r="44" ht="23.75" customHeight="1" s="31">
      <c r="A44" s="2" t="n">
        <v>40</v>
      </c>
      <c r="B44" s="3" t="inlineStr">
        <is>
          <t>Delos Reyes, Diana Maris</t>
        </is>
      </c>
      <c r="C44" s="21" t="n"/>
      <c r="D44" s="3" t="inlineStr">
        <is>
          <t>Teacher Education (BEED / BSEDE / BSEDM / TEP)</t>
        </is>
      </c>
      <c r="E44" s="2" t="inlineStr">
        <is>
          <t>FT</t>
        </is>
      </c>
      <c r="F44" s="2" t="n">
        <v>27</v>
      </c>
      <c r="G44" s="2" t="n">
        <v>7</v>
      </c>
      <c r="H44" s="3" t="inlineStr">
        <is>
          <t>Curriculum &amp; Syllabi — BEED/BSED</t>
        </is>
      </c>
      <c r="I44" s="21" t="inlineStr">
        <is>
          <t>#55–56, 61–62</t>
        </is>
      </c>
      <c r="J44" s="3" t="n"/>
    </row>
    <row r="45" ht="23.75" customHeight="1" s="31">
      <c r="A45" s="2" t="n">
        <v>41</v>
      </c>
      <c r="B45" s="3" t="inlineStr">
        <is>
          <t>Garcia, Almario B.</t>
        </is>
      </c>
      <c r="C45" s="21" t="inlineStr">
        <is>
          <t>Dr.</t>
        </is>
      </c>
      <c r="D45" s="3" t="inlineStr">
        <is>
          <t>Teacher Education (BEED / BSEDE / BSEDM / TEP)</t>
        </is>
      </c>
      <c r="E45" s="2" t="inlineStr">
        <is>
          <t>FT</t>
        </is>
      </c>
      <c r="F45" s="2" t="n">
        <v>3</v>
      </c>
      <c r="G45" s="2" t="n">
        <v>1</v>
      </c>
      <c r="H45" s="3" t="inlineStr">
        <is>
          <t>Curriculum &amp; Syllabi — BEED/BSED</t>
        </is>
      </c>
      <c r="I45" s="21" t="inlineStr">
        <is>
          <t>#55–56, 61–62</t>
        </is>
      </c>
      <c r="J45" s="3" t="inlineStr">
        <is>
          <t>Listed in the leadership block of the Assignment Matrix as Dean Dr. Almario B. Garcia.</t>
        </is>
      </c>
    </row>
    <row r="46" ht="23.75" customHeight="1" s="31">
      <c r="A46" s="2" t="n">
        <v>42</v>
      </c>
      <c r="B46" s="3" t="inlineStr">
        <is>
          <t>Garcia, Kent E.</t>
        </is>
      </c>
      <c r="C46" s="21" t="n"/>
      <c r="D46" s="3" t="inlineStr">
        <is>
          <t>Teacher Education (BEED / BSEDE / BSEDM / TEP)</t>
        </is>
      </c>
      <c r="E46" s="2" t="inlineStr">
        <is>
          <t>FT</t>
        </is>
      </c>
      <c r="F46" s="2" t="n">
        <v>12</v>
      </c>
      <c r="G46" s="2" t="n">
        <v>4</v>
      </c>
      <c r="H46" s="3" t="inlineStr">
        <is>
          <t>Curriculum &amp; Syllabi — BEED/BSED</t>
        </is>
      </c>
      <c r="I46" s="21" t="inlineStr">
        <is>
          <t>#55–56, 61–62</t>
        </is>
      </c>
      <c r="J46" s="3" t="inlineStr">
        <is>
          <t>Listed in the leadership block of the Assignment Matrix as Program Chair Kent E. Garcia.</t>
        </is>
      </c>
    </row>
    <row r="47" ht="23.75" customHeight="1" s="31">
      <c r="A47" s="2" t="n">
        <v>43</v>
      </c>
      <c r="B47" s="3" t="inlineStr">
        <is>
          <t>Germino, Melanie</t>
        </is>
      </c>
      <c r="C47" s="21" t="n"/>
      <c r="D47" s="3" t="inlineStr">
        <is>
          <t>Teacher Education (BEED / BSEDE / BSEDM / TEP)</t>
        </is>
      </c>
      <c r="E47" s="2" t="inlineStr">
        <is>
          <t>FT</t>
        </is>
      </c>
      <c r="F47" s="2" t="n">
        <v>27</v>
      </c>
      <c r="G47" s="2" t="n">
        <v>7</v>
      </c>
      <c r="H47" s="3" t="inlineStr">
        <is>
          <t>Curriculum &amp; Syllabi — BEED/BSED</t>
        </is>
      </c>
      <c r="I47" s="21" t="inlineStr">
        <is>
          <t>#55–56, 61–62</t>
        </is>
      </c>
      <c r="J47" s="3" t="n"/>
    </row>
    <row r="48" ht="23.75" customHeight="1" s="31">
      <c r="A48" s="2" t="n">
        <v>44</v>
      </c>
      <c r="B48" s="3" t="inlineStr">
        <is>
          <t>Ilag, Ferdinand T.</t>
        </is>
      </c>
      <c r="C48" s="21" t="n"/>
      <c r="D48" s="3" t="inlineStr">
        <is>
          <t>Teacher Education (BEED / BSEDE / BSEDM / TEP)</t>
        </is>
      </c>
      <c r="E48" s="2" t="inlineStr">
        <is>
          <t>FT</t>
        </is>
      </c>
      <c r="F48" s="2" t="n">
        <v>21</v>
      </c>
      <c r="G48" s="2" t="n">
        <v>3</v>
      </c>
      <c r="H48" s="3" t="inlineStr">
        <is>
          <t>Curriculum &amp; Syllabi — BEED/BSED; General Education Syllabi Pool (college-wide)</t>
        </is>
      </c>
      <c r="I48" s="21" t="inlineStr">
        <is>
          <t>#19–20, 25–26, 31–32, 37–38, 43–44, 49–50, 55–56, 61–62</t>
        </is>
      </c>
      <c r="J48" s="3" t="n"/>
    </row>
    <row r="49" ht="23.75" customHeight="1" s="31">
      <c r="A49" s="2" t="n">
        <v>45</v>
      </c>
      <c r="B49" s="3" t="inlineStr">
        <is>
          <t>Jamlang, Jamie A.</t>
        </is>
      </c>
      <c r="C49" s="21" t="n"/>
      <c r="D49" s="3" t="inlineStr">
        <is>
          <t>Teacher Education (BEED / BSEDE / BSEDM / TEP)</t>
        </is>
      </c>
      <c r="E49" s="2" t="inlineStr">
        <is>
          <t>FT</t>
        </is>
      </c>
      <c r="F49" s="2" t="n">
        <v>27</v>
      </c>
      <c r="G49" s="2" t="n">
        <v>5</v>
      </c>
      <c r="H49" s="3" t="inlineStr">
        <is>
          <t>Curriculum &amp; Syllabi — BEED/BSED; General Education Syllabi Pool (college-wide)</t>
        </is>
      </c>
      <c r="I49" s="21" t="inlineStr">
        <is>
          <t>#19–20, 25–26, 31–32, 37–38, 43–44, 49–50, 55–56, 61–62</t>
        </is>
      </c>
      <c r="J49" s="3" t="n"/>
    </row>
    <row r="50" ht="23.75" customHeight="1" s="31">
      <c r="A50" s="2" t="n">
        <v>46</v>
      </c>
      <c r="B50" s="3" t="inlineStr">
        <is>
          <t>Maglalang, Danica</t>
        </is>
      </c>
      <c r="C50" s="21" t="n"/>
      <c r="D50" s="3" t="inlineStr">
        <is>
          <t>Teacher Education (BEED / BSEDE / BSEDM / TEP)</t>
        </is>
      </c>
      <c r="E50" s="2" t="inlineStr">
        <is>
          <t>FT</t>
        </is>
      </c>
      <c r="F50" s="2" t="n">
        <v>24</v>
      </c>
      <c r="G50" s="2" t="n">
        <v>3</v>
      </c>
      <c r="H50" s="3" t="inlineStr">
        <is>
          <t>Curriculum &amp; Syllabi — BEED/BSED; General Education Syllabi Pool (college-wide)</t>
        </is>
      </c>
      <c r="I50" s="21" t="inlineStr">
        <is>
          <t>#19–20, 25–26, 31–32, 37–38, 43–44, 49–50, 55–56, 61–62</t>
        </is>
      </c>
      <c r="J50" s="3" t="n"/>
    </row>
    <row r="51" ht="23.75" customHeight="1" s="31">
      <c r="A51" s="2" t="n">
        <v>47</v>
      </c>
      <c r="B51" s="3" t="inlineStr">
        <is>
          <t>Manuel, Consuelo V.</t>
        </is>
      </c>
      <c r="C51" s="21" t="inlineStr">
        <is>
          <t>Dr.</t>
        </is>
      </c>
      <c r="D51" s="3" t="inlineStr">
        <is>
          <t>Teacher Education (BEED / BSEDE / BSEDM / TEP)</t>
        </is>
      </c>
      <c r="E51" s="2" t="inlineStr">
        <is>
          <t>FT</t>
        </is>
      </c>
      <c r="F51" s="2" t="n">
        <v>24</v>
      </c>
      <c r="G51" s="2" t="n">
        <v>4</v>
      </c>
      <c r="H51" s="3" t="inlineStr">
        <is>
          <t>Curriculum &amp; Syllabi — BEED/BSED; General Education Syllabi Pool (college-wide)</t>
        </is>
      </c>
      <c r="I51" s="21" t="inlineStr">
        <is>
          <t>#19–20, 25–26, 31–32, 37–38, 43–44, 49–50, 55–56, 61–62</t>
        </is>
      </c>
      <c r="J51" s="3" t="n"/>
    </row>
    <row r="52" ht="23.75" customHeight="1" s="31">
      <c r="A52" s="2" t="n">
        <v>48</v>
      </c>
      <c r="B52" s="3" t="inlineStr">
        <is>
          <t>Mequiabas, Meah</t>
        </is>
      </c>
      <c r="C52" s="21" t="n"/>
      <c r="D52" s="3" t="inlineStr">
        <is>
          <t>Teacher Education (BEED / BSEDE / BSEDM / TEP)</t>
        </is>
      </c>
      <c r="E52" s="2" t="inlineStr">
        <is>
          <t>FT</t>
        </is>
      </c>
      <c r="F52" s="2" t="n">
        <v>26</v>
      </c>
      <c r="G52" s="2" t="n">
        <v>4</v>
      </c>
      <c r="H52" s="3" t="inlineStr">
        <is>
          <t>Curriculum &amp; Syllabi — BEED/BSED; General Education Syllabi Pool (college-wide)</t>
        </is>
      </c>
      <c r="I52" s="21" t="inlineStr">
        <is>
          <t>#19–20, 25–26, 31–32, 37–38, 43–44, 49–50, 55–56, 61–62</t>
        </is>
      </c>
      <c r="J52" s="3" t="n"/>
    </row>
    <row r="53" ht="35" customHeight="1" s="31">
      <c r="A53" s="2" t="n">
        <v>49</v>
      </c>
      <c r="B53" s="3" t="inlineStr">
        <is>
          <t>Sta. Cruz, Ma. Patricia</t>
        </is>
      </c>
      <c r="C53" s="21" t="n"/>
      <c r="D53" s="3" t="inlineStr">
        <is>
          <t>Teacher Education (BEED / BSEDE / BSEDM / TEP)</t>
        </is>
      </c>
      <c r="E53" s="2" t="inlineStr">
        <is>
          <t>FT</t>
        </is>
      </c>
      <c r="F53" s="2" t="n">
        <v>27</v>
      </c>
      <c r="G53" s="2" t="n">
        <v>3</v>
      </c>
      <c r="H53" s="3" t="inlineStr">
        <is>
          <t>Curriculum &amp; Syllabi — BEED/BSED; Library Collection</t>
        </is>
      </c>
      <c r="I53" s="21" t="inlineStr">
        <is>
          <t>#55–56, 61–62, 66–69</t>
        </is>
      </c>
      <c r="J53" s="3" t="inlineStr">
        <is>
          <t>Also a member of the library team named in the project plan — library duty on top of a full teaching load.</t>
        </is>
      </c>
    </row>
    <row r="54" ht="23.75" customHeight="1" s="31">
      <c r="A54" s="2" t="n">
        <v>50</v>
      </c>
      <c r="B54" s="3" t="inlineStr">
        <is>
          <t>Tolosa, Nenita</t>
        </is>
      </c>
      <c r="C54" s="21" t="n"/>
      <c r="D54" s="3" t="inlineStr">
        <is>
          <t>Teacher Education (BEED / BSEDE / BSEDM / TEP)</t>
        </is>
      </c>
      <c r="E54" s="2" t="inlineStr">
        <is>
          <t>FT</t>
        </is>
      </c>
      <c r="F54" s="2" t="n">
        <v>24</v>
      </c>
      <c r="G54" s="2" t="n">
        <v>5</v>
      </c>
      <c r="H54" s="3" t="inlineStr">
        <is>
          <t>Curriculum &amp; Syllabi — BEED/BSED; General Education Syllabi Pool (college-wide)</t>
        </is>
      </c>
      <c r="I54" s="21" t="inlineStr">
        <is>
          <t>#19–20, 25–26, 31–32, 37–38, 43–44, 49–50, 55–56, 61–62</t>
        </is>
      </c>
      <c r="J54" s="3" t="n"/>
    </row>
    <row r="55" ht="23.75" customHeight="1" s="31">
      <c r="A55" s="2" t="n">
        <v>51</v>
      </c>
      <c r="B55" s="3" t="inlineStr">
        <is>
          <t>Villamayor, Xyrelle</t>
        </is>
      </c>
      <c r="C55" s="21" t="n"/>
      <c r="D55" s="3" t="inlineStr">
        <is>
          <t>Teacher Education (BEED / BSEDE / BSEDM / TEP)</t>
        </is>
      </c>
      <c r="E55" s="2" t="inlineStr">
        <is>
          <t>FT</t>
        </is>
      </c>
      <c r="F55" s="2" t="n">
        <v>27</v>
      </c>
      <c r="G55" s="2" t="n">
        <v>6</v>
      </c>
      <c r="H55" s="3" t="inlineStr">
        <is>
          <t>Curriculum &amp; Syllabi — BEED/BSED</t>
        </is>
      </c>
      <c r="I55" s="21" t="inlineStr">
        <is>
          <t>#55–56, 61–62</t>
        </is>
      </c>
      <c r="J55" s="3" t="n"/>
    </row>
    <row r="56" ht="23.75" customHeight="1" s="31">
      <c r="A56" s="22" t="n">
        <v>52</v>
      </c>
      <c r="B56" s="12" t="inlineStr">
        <is>
          <t>Adiova, Marites</t>
        </is>
      </c>
      <c r="C56" s="23" t="n"/>
      <c r="D56" s="12" t="inlineStr">
        <is>
          <t>Teacher Education (BEED / BSEDE / BSEDM / TEP)</t>
        </is>
      </c>
      <c r="E56" s="22" t="inlineStr">
        <is>
          <t>PT</t>
        </is>
      </c>
      <c r="F56" s="22" t="n">
        <v>3</v>
      </c>
      <c r="G56" s="22" t="n">
        <v>1</v>
      </c>
      <c r="H56" s="12" t="inlineStr">
        <is>
          <t>Not tasked — part-time</t>
        </is>
      </c>
      <c r="I56" s="23" t="inlineStr">
        <is>
          <t>—</t>
        </is>
      </c>
      <c r="J56" s="12" t="inlineStr">
        <is>
          <t>Part-time — not tasked.</t>
        </is>
      </c>
    </row>
    <row r="57" ht="23.75" customHeight="1" s="31">
      <c r="A57" s="22" t="n">
        <v>53</v>
      </c>
      <c r="B57" s="12" t="inlineStr">
        <is>
          <t>Cabrera, Francis</t>
        </is>
      </c>
      <c r="C57" s="23" t="n"/>
      <c r="D57" s="12" t="inlineStr">
        <is>
          <t>Teacher Education (BEED / BSEDE / BSEDM / TEP)</t>
        </is>
      </c>
      <c r="E57" s="22" t="inlineStr">
        <is>
          <t>PT</t>
        </is>
      </c>
      <c r="F57" s="22" t="n">
        <v>3</v>
      </c>
      <c r="G57" s="22" t="n">
        <v>1</v>
      </c>
      <c r="H57" s="12" t="inlineStr">
        <is>
          <t>Not tasked — part-time</t>
        </is>
      </c>
      <c r="I57" s="23" t="inlineStr">
        <is>
          <t>—</t>
        </is>
      </c>
      <c r="J57" s="12" t="inlineStr">
        <is>
          <t>Part-time — not tasked.</t>
        </is>
      </c>
    </row>
    <row r="58" ht="23.75" customHeight="1" s="31">
      <c r="A58" s="22" t="n">
        <v>54</v>
      </c>
      <c r="B58" s="12" t="inlineStr">
        <is>
          <t>Gomez, Donna Michelle A.</t>
        </is>
      </c>
      <c r="C58" s="23" t="n"/>
      <c r="D58" s="12" t="inlineStr">
        <is>
          <t>Teacher Education (BEED / BSEDE / BSEDM / TEP)</t>
        </is>
      </c>
      <c r="E58" s="22" t="inlineStr">
        <is>
          <t>PT</t>
        </is>
      </c>
      <c r="F58" s="22" t="n">
        <v>12</v>
      </c>
      <c r="G58" s="22" t="n">
        <v>1</v>
      </c>
      <c r="H58" s="12" t="inlineStr">
        <is>
          <t>Not tasked — part-time</t>
        </is>
      </c>
      <c r="I58" s="23" t="inlineStr">
        <is>
          <t>—</t>
        </is>
      </c>
      <c r="J58" s="12" t="inlineStr">
        <is>
          <t>Part-time — not tasked.</t>
        </is>
      </c>
    </row>
    <row r="59" ht="23.75" customHeight="1" s="31">
      <c r="A59" s="22" t="n">
        <v>55</v>
      </c>
      <c r="B59" s="12" t="inlineStr">
        <is>
          <t>Magdaong, Jennifer</t>
        </is>
      </c>
      <c r="C59" s="23" t="n"/>
      <c r="D59" s="12" t="inlineStr">
        <is>
          <t>Teacher Education (BEED / BSEDE / BSEDM / TEP)</t>
        </is>
      </c>
      <c r="E59" s="22" t="inlineStr">
        <is>
          <t>PT</t>
        </is>
      </c>
      <c r="F59" s="22" t="n">
        <v>3</v>
      </c>
      <c r="G59" s="22" t="n">
        <v>1</v>
      </c>
      <c r="H59" s="12" t="inlineStr">
        <is>
          <t>Not tasked — part-time</t>
        </is>
      </c>
      <c r="I59" s="23" t="inlineStr">
        <is>
          <t>—</t>
        </is>
      </c>
      <c r="J59" s="12" t="inlineStr">
        <is>
          <t>Part-time — not tasked.</t>
        </is>
      </c>
    </row>
    <row r="61" ht="15" customHeight="1" s="31">
      <c r="A61" s="35" t="inlineStr">
        <is>
          <t>Unique faculty</t>
        </is>
      </c>
      <c r="D61" s="15">
        <f>COUNTA($B$5:$B$59)</f>
        <v/>
      </c>
    </row>
    <row r="62" ht="15" customHeight="1" s="31">
      <c r="A62" s="35" t="inlineStr">
        <is>
          <t>Full-time (tasked)</t>
        </is>
      </c>
      <c r="D62" s="15">
        <f>COUNTIF($E$5:$E$59,"FT")</f>
        <v/>
      </c>
    </row>
    <row r="63" ht="15" customHeight="1" s="31">
      <c r="A63" s="35" t="inlineStr">
        <is>
          <t>Part-time (not tasked)</t>
        </is>
      </c>
      <c r="D63" s="15">
        <f>COUNTIF($E$5:$E$59,"PT")</f>
        <v/>
      </c>
    </row>
    <row r="64" ht="15" customHeight="1" s="31">
      <c r="A64" s="35" t="inlineStr">
        <is>
          <t>Full-time faculty available to task (excluding the Dean, the Vice Dean and the 5 Programme Chairs; the MIS Head is on this roster as part-time)</t>
        </is>
      </c>
      <c r="D64" s="15">
        <f>COUNTIF($E$5:$E$59,"FT")-7</f>
        <v/>
      </c>
    </row>
    <row r="65" ht="15" customHeight="1" s="31">
      <c r="A65" s="35" t="inlineStr">
        <is>
          <t>Total units carried this semester</t>
        </is>
      </c>
      <c r="D65" s="15">
        <f>SUM($F$5:$F$59)</f>
        <v/>
      </c>
    </row>
    <row r="66" ht="15" customHeight="1" s="31">
      <c r="A66" s="35" t="inlineStr">
        <is>
          <t>Average units per faculty</t>
        </is>
      </c>
      <c r="D66" s="15">
        <f>ROUND(AVERAGE($F$5:$F$59),1)</f>
        <v/>
      </c>
    </row>
  </sheetData>
  <autoFilter ref="A4:J59"/>
  <mergeCells count="8">
    <mergeCell ref="A1:J1"/>
    <mergeCell ref="A63:C63"/>
    <mergeCell ref="A66:C66"/>
    <mergeCell ref="A61:C61"/>
    <mergeCell ref="A62:C62"/>
    <mergeCell ref="A2:J2"/>
    <mergeCell ref="A65:C65"/>
    <mergeCell ref="A64:C64"/>
  </mergeCells>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F14"/>
  <sheetViews>
    <sheetView zoomScaleNormal="100" workbookViewId="0">
      <pane ySplit="4" topLeftCell="A5" activePane="bottomLeft" state="frozen"/>
      <selection pane="bottomLeft" activeCell="A1" sqref="A1"/>
    </sheetView>
  </sheetViews>
  <sheetFormatPr baseColWidth="10" defaultColWidth="8.6640625" defaultRowHeight="15"/>
  <cols>
    <col width="13" customWidth="1" style="31" min="1" max="1"/>
    <col width="50" customWidth="1" style="31" min="2" max="2"/>
    <col width="22" customWidth="1" style="31" min="3" max="4"/>
    <col width="15" customWidth="1" style="31" min="5" max="5"/>
    <col width="40" customWidth="1" style="31" min="6" max="6"/>
  </cols>
  <sheetData>
    <row r="1" ht="16.25" customHeight="1" s="31">
      <c r="A1" s="32" t="inlineStr">
        <is>
          <t>MY OUTPUTS — KEN GIE ANTHONY G. CRUEL, CPA, MBA</t>
        </is>
      </c>
    </row>
    <row r="2" ht="25.5" customHeight="1" s="31">
      <c r="A2" s="30" t="inlineStr">
        <is>
          <t>Personal record of work produced on the CHED 3-Year Trimester application, in both capacities: Co-Lead of the CHED Application Task Force and Program Chair for BSA and BSAIS. Add a row each time you finish something — this is the evidence trail behind the tracker.</t>
        </is>
      </c>
    </row>
    <row r="4" ht="30" customHeight="1" s="31">
      <c r="A4" s="1" t="inlineStr">
        <is>
          <t>Date</t>
        </is>
      </c>
      <c r="B4" s="1" t="inlineStr">
        <is>
          <t>Output produced</t>
        </is>
      </c>
      <c r="C4" s="1" t="inlineStr">
        <is>
          <t>Capacity</t>
        </is>
      </c>
      <c r="D4" s="1" t="inlineStr">
        <is>
          <t>Tracker item(s) it serves</t>
        </is>
      </c>
      <c r="E4" s="1" t="inlineStr">
        <is>
          <t>Status</t>
        </is>
      </c>
      <c r="F4" s="1" t="inlineStr">
        <is>
          <t>Where it lives</t>
        </is>
      </c>
    </row>
    <row r="5" ht="68.75" customHeight="1" s="31">
      <c r="A5" s="4" t="n">
        <v>46261</v>
      </c>
      <c r="B5" s="3" t="inlineStr">
        <is>
          <t>Minutes of the Special Meeting of the Council of Program Chairs, including the drafting of Resolutions 2026-08-01 (endorsement of the 3-year trimester transition for all 8 programs), 2026-08-02 (student cohorts and institutional teach-out policy) and 2026-08-03 (mobilisation of the CHED Application Task Force)</t>
        </is>
      </c>
      <c r="C5" s="3" t="inlineStr">
        <is>
          <t>Task Force Co-Lead</t>
        </is>
      </c>
      <c r="D5" s="3" t="inlineStr">
        <is>
          <t>Item 1</t>
        </is>
      </c>
      <c r="E5" s="2" t="inlineStr">
        <is>
          <t>For review</t>
        </is>
      </c>
      <c r="F5" s="3" t="inlineStr">
        <is>
          <t>MEETINGS OF MEETING 08.27.26.docx — circulated for signing</t>
        </is>
      </c>
    </row>
    <row r="6" ht="23.75" customHeight="1" s="31">
      <c r="A6" s="4" t="n">
        <v>46262</v>
      </c>
      <c r="B6" s="3" t="inlineStr">
        <is>
          <t>Transmittal letter to CHED for the proposed 3-Year Trimester System</t>
        </is>
      </c>
      <c r="C6" s="3" t="inlineStr">
        <is>
          <t>Task Force Co-Lead</t>
        </is>
      </c>
      <c r="D6" s="3" t="inlineStr">
        <is>
          <t>Item 1</t>
        </is>
      </c>
      <c r="E6" s="2" t="inlineStr">
        <is>
          <t>Done</t>
        </is>
      </c>
      <c r="F6" s="3" t="inlineStr">
        <is>
          <t>Office of the Vice Dean</t>
        </is>
      </c>
    </row>
    <row r="7" ht="35" customHeight="1" s="31">
      <c r="A7" s="4" t="n">
        <v>46262</v>
      </c>
      <c r="B7" s="3" t="inlineStr">
        <is>
          <t>Four-phase project implementation plan with hard deadlines of 12 Sep, 16 Oct, 30 Oct and 13 Nov 2026, setting out direct execution and delegation for every office</t>
        </is>
      </c>
      <c r="C7" s="3" t="inlineStr">
        <is>
          <t>Task Force Co-Lead</t>
        </is>
      </c>
      <c r="D7" s="3" t="inlineStr">
        <is>
          <t>Items 1–72</t>
        </is>
      </c>
      <c r="E7" s="2" t="inlineStr">
        <is>
          <t>Done</t>
        </is>
      </c>
      <c r="F7" s="3" t="inlineStr">
        <is>
          <t>CHED 3-Year Trimester Application.xlsx</t>
        </is>
      </c>
    </row>
    <row r="8" ht="23.75" customHeight="1" s="31">
      <c r="A8" s="4" t="n">
        <v>46265</v>
      </c>
      <c r="B8" s="3" t="inlineStr">
        <is>
          <t>Draft 9-trimester prospectus for BSA — 191 total units across 9 terms (Year 1: 67, Year 2: 67, Year 3: 57)</t>
        </is>
      </c>
      <c r="C8" s="3" t="inlineStr">
        <is>
          <t>Program Chair, BSA</t>
        </is>
      </c>
      <c r="D8" s="3" t="inlineStr">
        <is>
          <t>Items 15, 16, 17</t>
        </is>
      </c>
      <c r="E8" s="2" t="inlineStr">
        <is>
          <t>In progress</t>
        </is>
      </c>
      <c r="F8" s="3" t="inlineStr">
        <is>
          <t>Sample Curriculum.xlsx, sheet “BSA” — draft, not final</t>
        </is>
      </c>
    </row>
    <row r="9" ht="23.75" customHeight="1" s="31">
      <c r="A9" s="4" t="n">
        <v>46265</v>
      </c>
      <c r="B9" s="3" t="inlineStr">
        <is>
          <t>Draft 9-trimester prospectus for BSAIS — 185 total units across 9 terms (Year 1: 67, Year 2: 67, Year 3: 51)</t>
        </is>
      </c>
      <c r="C9" s="3" t="inlineStr">
        <is>
          <t>Program Chair, BSAIS</t>
        </is>
      </c>
      <c r="D9" s="3" t="inlineStr">
        <is>
          <t>Items 21, 22, 23</t>
        </is>
      </c>
      <c r="E9" s="2" t="inlineStr">
        <is>
          <t>In progress</t>
        </is>
      </c>
      <c r="F9" s="3" t="inlineStr">
        <is>
          <t>Sample Curriculum.xlsx, sheet “BSAIS” — draft, not final</t>
        </is>
      </c>
    </row>
    <row r="10" ht="46.25" customHeight="1" s="31">
      <c r="A10" s="4" t="n">
        <v>46265</v>
      </c>
      <c r="B10" s="3" t="inlineStr">
        <is>
          <t>Proposed HCC academic calendar for AY 2027-2028 — three terms of 15 academic weeks each, with Christmas and Holy Week breaks absorbed, enrolment and grade-processing windows, and graduation set for 10 June 2028</t>
        </is>
      </c>
      <c r="C10" s="3" t="inlineStr">
        <is>
          <t>Task Force Co-Lead</t>
        </is>
      </c>
      <c r="D10" s="3" t="inlineStr">
        <is>
          <t>Items 18, 24</t>
        </is>
      </c>
      <c r="E10" s="2" t="inlineStr">
        <is>
          <t>In progress</t>
        </is>
      </c>
      <c r="F10" s="3" t="inlineStr">
        <is>
          <t>Sample Curriculum.xlsx, sheet “School Calendar”</t>
        </is>
      </c>
    </row>
    <row r="11" ht="35" customHeight="1" s="31">
      <c r="A11" s="4" t="n">
        <v>46265</v>
      </c>
      <c r="B11" s="3" t="inlineStr">
        <is>
          <t>Contact-hour basis for the trimestral schedule under CMO 27 and CMO 30, series of 2017 — 14 contact hours per unit, 42 hours per 3-unit course, 2.8 hours per week over 15 weeks</t>
        </is>
      </c>
      <c r="C11" s="3" t="inlineStr">
        <is>
          <t>Program Chair, BSA &amp; BSAIS</t>
        </is>
      </c>
      <c r="D11" s="3" t="inlineStr">
        <is>
          <t>Items 18, 24</t>
        </is>
      </c>
      <c r="E11" s="2" t="inlineStr">
        <is>
          <t>In progress</t>
        </is>
      </c>
      <c r="F11" s="3" t="inlineStr">
        <is>
          <t>Sample Curriculum.xlsx, sheet “Sample Schedule” — weekly grid still to be built</t>
        </is>
      </c>
    </row>
    <row r="13" ht="15" customHeight="1" s="31">
      <c r="A13" s="35" t="inlineStr">
        <is>
          <t>Outputs recorded</t>
        </is>
      </c>
      <c r="B13" s="15">
        <f>COUNTA($B$5:$B$11)</f>
        <v/>
      </c>
    </row>
    <row r="14" ht="15" customHeight="1" s="31">
      <c r="A14" s="26" t="inlineStr">
        <is>
          <t>Add new rows directly beneath row 11; the count above uses a fixed range, so extend it if you add rows below.</t>
        </is>
      </c>
    </row>
  </sheetData>
  <mergeCells count="2">
    <mergeCell ref="A2:F2"/>
    <mergeCell ref="A1:F1"/>
  </mergeCells>
  <conditionalFormatting sqref="E5:E11">
    <cfRule type="expression" priority="2" dxfId="2">
      <formula>$E5="Done"</formula>
    </cfRule>
    <cfRule type="expression" priority="3" dxfId="1">
      <formula>$E5="In progress"</formula>
    </cfRule>
    <cfRule type="expression" priority="4" dxfId="0">
      <formula>$E5="For review"</formula>
    </cfRule>
  </conditionalFormatting>
  <dataValidations count="1">
    <dataValidation sqref="E5:E41" showDropDown="0" showInputMessage="0" showErrorMessage="0" allowBlank="1" type="list">
      <formula1>"Not started,In progress,For review,Done"</formula1>
      <formula2>0</formula2>
    </dataValidation>
  </dataValidations>
  <pageMargins left="0.75" right="0.75" top="1" bottom="1" header="0.511811023622047" footer="0.511811023622047"/>
  <pageSetup orientation="landscape"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2026-09-03T08:23:57Z</dcterms:created>
  <dcterms:modified xmlns:dcterms="http://purl.org/dc/terms/" xmlns:xsi="http://www.w3.org/2001/XMLSchema-instance" xsi:type="dcterms:W3CDTF">2026-09-09T07:48:37Z</dcterms:modified>
  <cp:lastModifiedBy>Ken Gie Anthony Cruel</cp:lastModifiedBy>
  <cp:revision>0</cp:revision>
</cp:coreProperties>
</file>